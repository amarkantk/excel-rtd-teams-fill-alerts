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ertshtengroup-my.sharepoint.com/personal/amarkant_kumar_hertshtengroup_com/Documents/"/>
    </mc:Choice>
  </mc:AlternateContent>
  <xr:revisionPtr revIDLastSave="262" documentId="8_{52D7A76A-3E51-4B98-9B0D-63920A80B575}" xr6:coauthVersionLast="47" xr6:coauthVersionMax="47" xr10:uidLastSave="{34E82CAC-D4F8-4B0C-81A5-4F43AD953E1F}"/>
  <bookViews>
    <workbookView xWindow="-76920" yWindow="15" windowWidth="38640" windowHeight="21120" activeTab="5" xr2:uid="{737EF4CD-4F3A-48AE-A6F3-7EA6BC73CCCF}"/>
  </bookViews>
  <sheets>
    <sheet name="Summary" sheetId="1" r:id="rId1"/>
    <sheet name="data" sheetId="2" r:id="rId2"/>
    <sheet name="exch_map" sheetId="3" r:id="rId3"/>
    <sheet name="contracts" sheetId="5" r:id="rId4"/>
    <sheet name="How to use" sheetId="4" r:id="rId5"/>
    <sheet name="README" sheetId="6" r:id="rId6"/>
  </sheets>
  <functionGroups builtInGroupCount="19"/>
  <definedNames>
    <definedName name="_xleta.IF" hidden="1" xlm="1">#NAME?</definedName>
    <definedName name="_xleta.OR" hidden="1" xlm="1">#NAME?</definedName>
    <definedName name="_xlpm.a" hidden="1" xlm="1">#NAME?</definedName>
    <definedName name="_xlpm.acc" hidden="1" xlm="1">#NAME?</definedName>
    <definedName name="_xlpm.g" hidden="1" xlm="1">#NAME?</definedName>
    <definedName name="_xlpm.gi" hidden="1" xlm="1">#NAME?</definedName>
    <definedName name="_xlpm.gName" hidden="1" xlm="1">#NAME?</definedName>
    <definedName name="_xlpm.grp" hidden="1" xlm="1">#NAME?</definedName>
    <definedName name="_xlpm.i" hidden="1" xlm="1">#NAME?</definedName>
    <definedName name="_xlpm.isq" hidden="1" xlm="1">#NAME?</definedName>
    <definedName name="_xlpm.k" hidden="1" xlm="1">#NAME?</definedName>
    <definedName name="_xlpm.m" hidden="1" xlm="1">#NAME?</definedName>
    <definedName name="_xlpm.mm" hidden="1" xlm="1">#NAME?</definedName>
    <definedName name="_xlpm.mons" hidden="1" xlm="1">#NAME?</definedName>
    <definedName name="_xlpm.mths" hidden="1" xlm="1">#NAME?</definedName>
    <definedName name="_xlpm.n" hidden="1" xlm="1">#NAME?</definedName>
    <definedName name="_xlpm.nCnt" hidden="1" xlm="1">#NAME?</definedName>
    <definedName name="_xlpm.ni" hidden="1" xlm="1">#NAME?</definedName>
    <definedName name="_xlpm.nm" hidden="1" xlm="1">#NAME?</definedName>
    <definedName name="_xlpm.num" hidden="1" xlm="1">#NAME?</definedName>
    <definedName name="_xlpm.pName" hidden="1" xlm="1">#NAME?</definedName>
    <definedName name="_xlpm.q" hidden="1" xlm="1">#NAME?</definedName>
    <definedName name="_xlpm.qm" hidden="1" xlm="1">#NAME?</definedName>
    <definedName name="_xlpm.qMons" hidden="1" xlm="1">#NAME?</definedName>
    <definedName name="_xlpm.res" hidden="1" xlm="1">#NAME?</definedName>
    <definedName name="_xlpm.s" hidden="1" xlm="1">#NAME?</definedName>
    <definedName name="_xlpm.ser" hidden="1" xlm="1">#NAME?</definedName>
    <definedName name="_xlpm.serN" hidden="1" xlm="1">#NAME?</definedName>
    <definedName name="_xlpm.sMons" hidden="1" xlm="1">#NAME?</definedName>
    <definedName name="_xlpm.start" hidden="1" xlm="1">#NAME?</definedName>
    <definedName name="_xlpm.t" hidden="1" xlm="1">#NAME?</definedName>
    <definedName name="_xlpm.ti" hidden="1" xlm="1">#NAME?</definedName>
    <definedName name="_xlpm.tName" hidden="1" xlm="1">#NAME?</definedName>
    <definedName name="_xlpm.typ" hidden="1" xlm="1">#NAME?</definedName>
    <definedName name="_xlpm.w" hidden="1" xlm="1">#NAME?</definedName>
    <definedName name="_xlpm.wch" hidden="1" xlm="1">#NAME?</definedName>
    <definedName name="_xlpm.x" hidden="1" xlm="1">#NAME?</definedName>
    <definedName name="stellar_rtd" comment="RTD server ProgID">data!$A$2</definedName>
    <definedName name="TA_BatchSeconds">exch_map!$K$7</definedName>
    <definedName name="TA_CardTitle">exch_map!$K$9</definedName>
    <definedName name="TA_LabelColumn">exch_map!$K$6</definedName>
    <definedName name="TA_MinAbsChange">exch_map!$K$8</definedName>
    <definedName name="TA_Recipient">exch_map!$K$3</definedName>
    <definedName name="TA_RTDServer">exch_map!$K$11</definedName>
    <definedName name="TA_TableName">exch_map!$K$4</definedName>
    <definedName name="TA_WatchColumn">exch_map!$K$5</definedName>
    <definedName name="TA_WebhookUrl">exch_map!$K$2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2" i="2" l="1"/>
  <c r="C2" i="2" s="1"/>
  <c r="B2" i="5"/>
  <c r="A6" i="5" s="1" a="1"/>
  <c r="A6" i="5" s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40" i="2" l="1" a="1"/>
  <c r="A340" i="2" s="1"/>
  <c r="I340" i="2" s="1"/>
  <c r="A212" i="2" a="1"/>
  <c r="A212" i="2" s="1"/>
  <c r="A112" i="2" a="1"/>
  <c r="A112" i="2" s="1"/>
  <c r="B112" i="2" s="1"/>
  <c r="D112" i="2" s="1"/>
  <c r="H112" i="2" s="1"/>
  <c r="A82" i="2" a="1"/>
  <c r="A82" i="2" s="1"/>
  <c r="E313" i="2" a="1"/>
  <c r="E313" i="2" s="1"/>
  <c r="F313" i="2" s="1"/>
  <c r="G313" i="2" s="1"/>
  <c r="E271" i="2" a="1"/>
  <c r="E271" i="2" s="1"/>
  <c r="F271" i="2" s="1"/>
  <c r="G271" i="2" s="1"/>
  <c r="E270" i="2" a="1"/>
  <c r="E270" i="2" s="1"/>
  <c r="F270" i="2" s="1"/>
  <c r="G270" i="2" s="1"/>
  <c r="E223" i="2" a="1"/>
  <c r="E223" i="2" s="1"/>
  <c r="E222" i="2" a="1"/>
  <c r="E222" i="2" s="1"/>
  <c r="E181" i="2" a="1"/>
  <c r="E181" i="2" s="1"/>
  <c r="E180" i="2" a="1"/>
  <c r="E180" i="2" s="1"/>
  <c r="E402" i="2" a="1"/>
  <c r="E402" i="2" s="1"/>
  <c r="F402" i="2" s="1"/>
  <c r="G402" i="2" s="1"/>
  <c r="E140" i="2" a="1"/>
  <c r="E140" i="2" s="1"/>
  <c r="E361" i="2" a="1"/>
  <c r="E361" i="2" s="1"/>
  <c r="F361" i="2" s="1"/>
  <c r="G361" i="2" s="1"/>
  <c r="E93" i="2" a="1"/>
  <c r="E93" i="2" s="1"/>
  <c r="A380" i="2" a="1"/>
  <c r="A380" i="2" s="1"/>
  <c r="I380" i="2" s="1"/>
  <c r="E53" i="2" a="1"/>
  <c r="E53" i="2" s="1"/>
  <c r="E362" i="2" a="1"/>
  <c r="E362" i="2" s="1"/>
  <c r="F362" i="2" s="1"/>
  <c r="G362" i="2" s="1"/>
  <c r="A310" i="2" a="1"/>
  <c r="A310" i="2" s="1"/>
  <c r="I310" i="2" s="1"/>
  <c r="E52" i="2" a="1"/>
  <c r="E52" i="2" s="1"/>
  <c r="A283" i="2" a="1"/>
  <c r="A283" i="2" s="1"/>
  <c r="I283" i="2" s="1"/>
  <c r="A211" i="2" a="1"/>
  <c r="A211" i="2" s="1"/>
  <c r="E173" i="2" a="1"/>
  <c r="E173" i="2" s="1"/>
  <c r="E50" i="2" a="1"/>
  <c r="E50" i="2" s="1"/>
  <c r="E213" i="2" a="1"/>
  <c r="E213" i="2" s="1"/>
  <c r="A280" i="2" a="1"/>
  <c r="A280" i="2" s="1"/>
  <c r="I280" i="2" s="1"/>
  <c r="A202" i="2" a="1"/>
  <c r="A202" i="2" s="1"/>
  <c r="A73" i="2" a="1"/>
  <c r="A73" i="2" s="1"/>
  <c r="E393" i="2" a="1"/>
  <c r="E393" i="2" s="1"/>
  <c r="F393" i="2" s="1"/>
  <c r="G393" i="2" s="1"/>
  <c r="E351" i="2" a="1"/>
  <c r="E351" i="2" s="1"/>
  <c r="F351" i="2" s="1"/>
  <c r="G351" i="2" s="1"/>
  <c r="E303" i="2" a="1"/>
  <c r="E303" i="2" s="1"/>
  <c r="F303" i="2" s="1"/>
  <c r="G303" i="2" s="1"/>
  <c r="E261" i="2" a="1"/>
  <c r="E261" i="2" s="1"/>
  <c r="E171" i="2" a="1"/>
  <c r="E171" i="2" s="1"/>
  <c r="E130" i="2" a="1"/>
  <c r="E130" i="2" s="1"/>
  <c r="E90" i="2" a="1"/>
  <c r="E90" i="2" s="1"/>
  <c r="E43" i="2" a="1"/>
  <c r="E43" i="2" s="1"/>
  <c r="A352" i="2" a="1"/>
  <c r="A352" i="2" s="1"/>
  <c r="I352" i="2" s="1"/>
  <c r="A273" i="2" a="1"/>
  <c r="A273" i="2" s="1"/>
  <c r="I273" i="2" s="1"/>
  <c r="A181" i="2" a="1"/>
  <c r="A181" i="2" s="1"/>
  <c r="A72" i="2" a="1"/>
  <c r="A72" i="2" s="1"/>
  <c r="E392" i="2" a="1"/>
  <c r="E392" i="2" s="1"/>
  <c r="F392" i="2" s="1"/>
  <c r="G392" i="2" s="1"/>
  <c r="E350" i="2" a="1"/>
  <c r="E350" i="2" s="1"/>
  <c r="F350" i="2" s="1"/>
  <c r="G350" i="2" s="1"/>
  <c r="E302" i="2" a="1"/>
  <c r="E302" i="2" s="1"/>
  <c r="F302" i="2" s="1"/>
  <c r="G302" i="2" s="1"/>
  <c r="E260" i="2" a="1"/>
  <c r="E260" i="2" s="1"/>
  <c r="E212" i="2" a="1"/>
  <c r="E212" i="2" s="1"/>
  <c r="E170" i="2" a="1"/>
  <c r="E170" i="2" s="1"/>
  <c r="E123" i="2" a="1"/>
  <c r="E123" i="2" s="1"/>
  <c r="E83" i="2" a="1"/>
  <c r="E83" i="2" s="1"/>
  <c r="E42" i="2" a="1"/>
  <c r="E42" i="2" s="1"/>
  <c r="E360" i="2" a="1"/>
  <c r="E360" i="2" s="1"/>
  <c r="F360" i="2" s="1"/>
  <c r="G360" i="2" s="1"/>
  <c r="E92" i="2" a="1"/>
  <c r="E92" i="2" s="1"/>
  <c r="E311" i="2" a="1"/>
  <c r="E311" i="2" s="1"/>
  <c r="F311" i="2" s="1"/>
  <c r="G311" i="2" s="1"/>
  <c r="A351" i="2" a="1"/>
  <c r="A351" i="2" s="1"/>
  <c r="I351" i="2" s="1"/>
  <c r="A71" i="2" a="1"/>
  <c r="A71" i="2" s="1"/>
  <c r="E122" i="2" a="1"/>
  <c r="E122" i="2" s="1"/>
  <c r="A63" i="2" a="1"/>
  <c r="A63" i="2" s="1"/>
  <c r="E342" i="2" a="1"/>
  <c r="E342" i="2" s="1"/>
  <c r="F342" i="2" s="1"/>
  <c r="G342" i="2" s="1"/>
  <c r="E252" i="2" a="1"/>
  <c r="E252" i="2" s="1"/>
  <c r="A343" i="2" a="1"/>
  <c r="A343" i="2" s="1"/>
  <c r="I343" i="2" s="1"/>
  <c r="A172" i="2" a="1"/>
  <c r="A172" i="2" s="1"/>
  <c r="E390" i="2" a="1"/>
  <c r="E390" i="2" s="1"/>
  <c r="F390" i="2" s="1"/>
  <c r="G390" i="2" s="1"/>
  <c r="E341" i="2" a="1"/>
  <c r="E341" i="2" s="1"/>
  <c r="F341" i="2" s="1"/>
  <c r="G341" i="2" s="1"/>
  <c r="E293" i="2" a="1"/>
  <c r="E293" i="2" s="1"/>
  <c r="F293" i="2" s="1"/>
  <c r="G293" i="2" s="1"/>
  <c r="E251" i="2" a="1"/>
  <c r="E251" i="2" s="1"/>
  <c r="E203" i="2" a="1"/>
  <c r="E203" i="2" s="1"/>
  <c r="E162" i="2" a="1"/>
  <c r="E162" i="2" s="1"/>
  <c r="E121" i="2" a="1"/>
  <c r="E121" i="2" s="1"/>
  <c r="E80" i="2" a="1"/>
  <c r="E80" i="2" s="1"/>
  <c r="E40" i="2" a="1"/>
  <c r="E40" i="2" s="1"/>
  <c r="E221" i="2" a="1"/>
  <c r="E221" i="2" s="1"/>
  <c r="A81" i="2" a="1"/>
  <c r="A81" i="2" s="1"/>
  <c r="E132" i="2" a="1"/>
  <c r="E132" i="2" s="1"/>
  <c r="E352" i="2" a="1"/>
  <c r="E352" i="2" s="1"/>
  <c r="F352" i="2" s="1"/>
  <c r="G352" i="2" s="1"/>
  <c r="E253" i="2" a="1"/>
  <c r="E253" i="2" s="1"/>
  <c r="A173" i="2" a="1"/>
  <c r="A173" i="2" s="1"/>
  <c r="E300" i="2" a="1"/>
  <c r="E300" i="2" s="1"/>
  <c r="F300" i="2" s="1"/>
  <c r="G300" i="2" s="1"/>
  <c r="E210" i="2" a="1"/>
  <c r="E210" i="2" s="1"/>
  <c r="E81" i="2" a="1"/>
  <c r="E81" i="2" s="1"/>
  <c r="A342" i="2" a="1"/>
  <c r="A342" i="2" s="1"/>
  <c r="I342" i="2" s="1"/>
  <c r="A251" i="2" a="1"/>
  <c r="A251" i="2" s="1"/>
  <c r="A171" i="2" a="1"/>
  <c r="A171" i="2" s="1"/>
  <c r="A43" i="2" a="1"/>
  <c r="A43" i="2" s="1"/>
  <c r="B43" i="2" s="1"/>
  <c r="D43" i="2" s="1"/>
  <c r="H43" i="2" s="1"/>
  <c r="E383" i="2" a="1"/>
  <c r="E383" i="2" s="1"/>
  <c r="F383" i="2" s="1"/>
  <c r="G383" i="2" s="1"/>
  <c r="E292" i="2" a="1"/>
  <c r="E292" i="2" s="1"/>
  <c r="F292" i="2" s="1"/>
  <c r="G292" i="2" s="1"/>
  <c r="E250" i="2" a="1"/>
  <c r="E250" i="2" s="1"/>
  <c r="E202" i="2" a="1"/>
  <c r="E202" i="2" s="1"/>
  <c r="E161" i="2" a="1"/>
  <c r="E161" i="2" s="1"/>
  <c r="E120" i="2" a="1"/>
  <c r="E120" i="2" s="1"/>
  <c r="E73" i="2" a="1"/>
  <c r="E73" i="2" s="1"/>
  <c r="E33" i="2" a="1"/>
  <c r="E33" i="2" s="1"/>
  <c r="A341" i="2" a="1"/>
  <c r="A341" i="2" s="1"/>
  <c r="I341" i="2" s="1"/>
  <c r="A250" i="2" a="1"/>
  <c r="A250" i="2" s="1"/>
  <c r="A163" i="2" a="1"/>
  <c r="A163" i="2" s="1"/>
  <c r="A42" i="2" a="1"/>
  <c r="A42" i="2" s="1"/>
  <c r="E382" i="2" a="1"/>
  <c r="E382" i="2" s="1"/>
  <c r="F382" i="2" s="1"/>
  <c r="G382" i="2" s="1"/>
  <c r="E340" i="2" a="1"/>
  <c r="E340" i="2" s="1"/>
  <c r="F340" i="2" s="1"/>
  <c r="G340" i="2" s="1"/>
  <c r="E291" i="2" a="1"/>
  <c r="E291" i="2" s="1"/>
  <c r="F291" i="2" s="1"/>
  <c r="G291" i="2" s="1"/>
  <c r="E243" i="2" a="1"/>
  <c r="E243" i="2" s="1"/>
  <c r="E201" i="2" a="1"/>
  <c r="E201" i="2" s="1"/>
  <c r="E160" i="2" a="1"/>
  <c r="E160" i="2" s="1"/>
  <c r="E113" i="2" a="1"/>
  <c r="E113" i="2" s="1"/>
  <c r="E72" i="2" a="1"/>
  <c r="E72" i="2" s="1"/>
  <c r="E32" i="2" a="1"/>
  <c r="E32" i="2" s="1"/>
  <c r="A243" i="2" a="1"/>
  <c r="A243" i="2" s="1"/>
  <c r="A162" i="2" a="1"/>
  <c r="A162" i="2" s="1"/>
  <c r="A41" i="2" a="1"/>
  <c r="A41" i="2" s="1"/>
  <c r="E381" i="2" a="1"/>
  <c r="E381" i="2" s="1"/>
  <c r="F381" i="2" s="1"/>
  <c r="G381" i="2" s="1"/>
  <c r="E333" i="2" a="1"/>
  <c r="E333" i="2" s="1"/>
  <c r="F333" i="2" s="1"/>
  <c r="G333" i="2" s="1"/>
  <c r="E242" i="2" a="1"/>
  <c r="E242" i="2" s="1"/>
  <c r="E200" i="2" a="1"/>
  <c r="E200" i="2" s="1"/>
  <c r="E153" i="2" a="1"/>
  <c r="E153" i="2" s="1"/>
  <c r="E31" i="2" a="1"/>
  <c r="E31" i="2" s="1"/>
  <c r="A321" i="2" a="1"/>
  <c r="A321" i="2" s="1"/>
  <c r="I321" i="2" s="1"/>
  <c r="A242" i="2" a="1"/>
  <c r="A242" i="2" s="1"/>
  <c r="A40" i="2" a="1"/>
  <c r="A40" i="2" s="1"/>
  <c r="E380" i="2" a="1"/>
  <c r="E380" i="2" s="1"/>
  <c r="F380" i="2" s="1"/>
  <c r="G380" i="2" s="1"/>
  <c r="E332" i="2" a="1"/>
  <c r="E332" i="2" s="1"/>
  <c r="F332" i="2" s="1"/>
  <c r="G332" i="2" s="1"/>
  <c r="E290" i="2" a="1"/>
  <c r="E290" i="2" s="1"/>
  <c r="F290" i="2" s="1"/>
  <c r="G290" i="2" s="1"/>
  <c r="E241" i="2" a="1"/>
  <c r="E241" i="2" s="1"/>
  <c r="E193" i="2" a="1"/>
  <c r="E193" i="2" s="1"/>
  <c r="E152" i="2" a="1"/>
  <c r="E152" i="2" s="1"/>
  <c r="E112" i="2" a="1"/>
  <c r="E112" i="2" s="1"/>
  <c r="E71" i="2" a="1"/>
  <c r="E71" i="2" s="1"/>
  <c r="E30" i="2" a="1"/>
  <c r="E30" i="2" s="1"/>
  <c r="E133" i="2" a="1"/>
  <c r="E133" i="2" s="1"/>
  <c r="E220" i="2" a="1"/>
  <c r="E220" i="2" s="1"/>
  <c r="A203" i="2" a="1"/>
  <c r="A203" i="2" s="1"/>
  <c r="E262" i="2" a="1"/>
  <c r="E262" i="2" s="1"/>
  <c r="A272" i="2" a="1"/>
  <c r="A272" i="2" s="1"/>
  <c r="I272" i="2" s="1"/>
  <c r="E301" i="2" a="1"/>
  <c r="E301" i="2" s="1"/>
  <c r="F301" i="2" s="1"/>
  <c r="G301" i="2" s="1"/>
  <c r="E82" i="2" a="1"/>
  <c r="E82" i="2" s="1"/>
  <c r="A391" i="2" a="1"/>
  <c r="A391" i="2" s="1"/>
  <c r="I391" i="2" s="1"/>
  <c r="A320" i="2" a="1"/>
  <c r="A320" i="2" s="1"/>
  <c r="I320" i="2" s="1"/>
  <c r="A241" i="2" a="1"/>
  <c r="A241" i="2" s="1"/>
  <c r="A131" i="2" a="1"/>
  <c r="A131" i="2" s="1"/>
  <c r="A33" i="2" a="1"/>
  <c r="A33" i="2" s="1"/>
  <c r="E373" i="2" a="1"/>
  <c r="E373" i="2" s="1"/>
  <c r="F373" i="2" s="1"/>
  <c r="G373" i="2" s="1"/>
  <c r="E331" i="2" a="1"/>
  <c r="E331" i="2" s="1"/>
  <c r="F331" i="2" s="1"/>
  <c r="G331" i="2" s="1"/>
  <c r="E283" i="2" a="1"/>
  <c r="E283" i="2" s="1"/>
  <c r="F283" i="2" s="1"/>
  <c r="G283" i="2" s="1"/>
  <c r="E192" i="2" a="1"/>
  <c r="E192" i="2" s="1"/>
  <c r="E151" i="2" a="1"/>
  <c r="E151" i="2" s="1"/>
  <c r="E111" i="2" a="1"/>
  <c r="E111" i="2" s="1"/>
  <c r="E70" i="2" a="1"/>
  <c r="E70" i="2" s="1"/>
  <c r="E23" i="2" a="1"/>
  <c r="E23" i="2" s="1"/>
  <c r="E91" i="2" a="1"/>
  <c r="E91" i="2" s="1"/>
  <c r="E343" i="2" a="1"/>
  <c r="E343" i="2" s="1"/>
  <c r="F343" i="2" s="1"/>
  <c r="G343" i="2" s="1"/>
  <c r="A350" i="2" a="1"/>
  <c r="A350" i="2" s="1"/>
  <c r="I350" i="2" s="1"/>
  <c r="A390" i="2" a="1"/>
  <c r="A390" i="2" s="1"/>
  <c r="I390" i="2" s="1"/>
  <c r="A240" i="2" a="1"/>
  <c r="A240" i="2" s="1"/>
  <c r="E372" i="2" a="1"/>
  <c r="E372" i="2" s="1"/>
  <c r="F372" i="2" s="1"/>
  <c r="G372" i="2" s="1"/>
  <c r="E330" i="2" a="1"/>
  <c r="E330" i="2" s="1"/>
  <c r="F330" i="2" s="1"/>
  <c r="G330" i="2" s="1"/>
  <c r="E282" i="2" a="1"/>
  <c r="E282" i="2" s="1"/>
  <c r="F282" i="2" s="1"/>
  <c r="G282" i="2" s="1"/>
  <c r="E240" i="2" a="1"/>
  <c r="E240" i="2" s="1"/>
  <c r="E191" i="2" a="1"/>
  <c r="E191" i="2" s="1"/>
  <c r="E150" i="2" a="1"/>
  <c r="E150" i="2" s="1"/>
  <c r="E110" i="2" a="1"/>
  <c r="E110" i="2" s="1"/>
  <c r="E63" i="2" a="1"/>
  <c r="E63" i="2" s="1"/>
  <c r="E22" i="2" a="1"/>
  <c r="E22" i="2" s="1"/>
  <c r="A282" i="2" a="1"/>
  <c r="A282" i="2" s="1"/>
  <c r="I282" i="2" s="1"/>
  <c r="A252" i="2" a="1"/>
  <c r="A252" i="2" s="1"/>
  <c r="A383" i="2" a="1"/>
  <c r="A383" i="2" s="1"/>
  <c r="I383" i="2" s="1"/>
  <c r="A313" i="2" a="1"/>
  <c r="A313" i="2" s="1"/>
  <c r="I313" i="2" s="1"/>
  <c r="A233" i="2" a="1"/>
  <c r="A233" i="2" s="1"/>
  <c r="A123" i="2" a="1"/>
  <c r="A123" i="2" s="1"/>
  <c r="A32" i="2" a="1"/>
  <c r="A32" i="2" s="1"/>
  <c r="E371" i="2" a="1"/>
  <c r="E371" i="2" s="1"/>
  <c r="F371" i="2" s="1"/>
  <c r="G371" i="2" s="1"/>
  <c r="E323" i="2" a="1"/>
  <c r="E323" i="2" s="1"/>
  <c r="F323" i="2" s="1"/>
  <c r="G323" i="2" s="1"/>
  <c r="E281" i="2" a="1"/>
  <c r="E281" i="2" s="1"/>
  <c r="F281" i="2" s="1"/>
  <c r="G281" i="2" s="1"/>
  <c r="E233" i="2" a="1"/>
  <c r="E233" i="2" s="1"/>
  <c r="E103" i="2" a="1"/>
  <c r="E103" i="2" s="1"/>
  <c r="E401" i="2" a="1"/>
  <c r="E401" i="2" s="1"/>
  <c r="F401" i="2" s="1"/>
  <c r="G401" i="2" s="1"/>
  <c r="A281" i="2" a="1"/>
  <c r="A281" i="2" s="1"/>
  <c r="I281" i="2" s="1"/>
  <c r="E310" i="2" a="1"/>
  <c r="E310" i="2" s="1"/>
  <c r="F310" i="2" s="1"/>
  <c r="G310" i="2" s="1"/>
  <c r="E163" i="2" a="1"/>
  <c r="E163" i="2" s="1"/>
  <c r="A382" i="2" a="1"/>
  <c r="A382" i="2" s="1"/>
  <c r="I382" i="2" s="1"/>
  <c r="A122" i="2" a="1"/>
  <c r="A122" i="2" s="1"/>
  <c r="E370" i="2" a="1"/>
  <c r="E370" i="2" s="1"/>
  <c r="F370" i="2" s="1"/>
  <c r="G370" i="2" s="1"/>
  <c r="E322" i="2" a="1"/>
  <c r="E322" i="2" s="1"/>
  <c r="F322" i="2" s="1"/>
  <c r="G322" i="2" s="1"/>
  <c r="E280" i="2" a="1"/>
  <c r="E280" i="2" s="1"/>
  <c r="F280" i="2" s="1"/>
  <c r="G280" i="2" s="1"/>
  <c r="E232" i="2" a="1"/>
  <c r="E232" i="2" s="1"/>
  <c r="E190" i="2" a="1"/>
  <c r="E190" i="2" s="1"/>
  <c r="E143" i="2" a="1"/>
  <c r="E143" i="2" s="1"/>
  <c r="E102" i="2" a="1"/>
  <c r="E102" i="2" s="1"/>
  <c r="E62" i="2" a="1"/>
  <c r="E62" i="2" s="1"/>
  <c r="E21" i="2" a="1"/>
  <c r="E21" i="2" s="1"/>
  <c r="A373" i="2" a="1"/>
  <c r="A373" i="2" s="1"/>
  <c r="I373" i="2" s="1"/>
  <c r="E263" i="2" a="1"/>
  <c r="E263" i="2" s="1"/>
  <c r="F263" i="2" s="1"/>
  <c r="G263" i="2" s="1"/>
  <c r="E353" i="2" a="1"/>
  <c r="E353" i="2" s="1"/>
  <c r="F353" i="2" s="1"/>
  <c r="G353" i="2" s="1"/>
  <c r="E400" i="2" a="1"/>
  <c r="E400" i="2" s="1"/>
  <c r="F400" i="2" s="1"/>
  <c r="G400" i="2" s="1"/>
  <c r="E211" i="2" a="1"/>
  <c r="E211" i="2" s="1"/>
  <c r="A312" i="2" a="1"/>
  <c r="A312" i="2" s="1"/>
  <c r="I312" i="2" s="1"/>
  <c r="A213" i="2" a="1"/>
  <c r="A213" i="2" s="1"/>
  <c r="A121" i="2" a="1"/>
  <c r="A121" i="2" s="1"/>
  <c r="E403" i="2" a="1"/>
  <c r="E403" i="2" s="1"/>
  <c r="F403" i="2" s="1"/>
  <c r="G403" i="2" s="1"/>
  <c r="E363" i="2" a="1"/>
  <c r="E363" i="2" s="1"/>
  <c r="F363" i="2" s="1"/>
  <c r="G363" i="2" s="1"/>
  <c r="E321" i="2" a="1"/>
  <c r="E321" i="2" s="1"/>
  <c r="F321" i="2" s="1"/>
  <c r="G321" i="2" s="1"/>
  <c r="E273" i="2" a="1"/>
  <c r="E273" i="2" s="1"/>
  <c r="F273" i="2" s="1"/>
  <c r="G273" i="2" s="1"/>
  <c r="E231" i="2" a="1"/>
  <c r="E231" i="2" s="1"/>
  <c r="E183" i="2" a="1"/>
  <c r="E183" i="2" s="1"/>
  <c r="E142" i="2" a="1"/>
  <c r="E142" i="2" s="1"/>
  <c r="E101" i="2" a="1"/>
  <c r="E101" i="2" s="1"/>
  <c r="E61" i="2" a="1"/>
  <c r="E61" i="2" s="1"/>
  <c r="E20" i="2" a="1"/>
  <c r="E20" i="2" s="1"/>
  <c r="E312" i="2" a="1"/>
  <c r="E312" i="2" s="1"/>
  <c r="F312" i="2" s="1"/>
  <c r="G312" i="2" s="1"/>
  <c r="E51" i="2" a="1"/>
  <c r="E51" i="2" s="1"/>
  <c r="A210" i="2" a="1"/>
  <c r="A210" i="2" s="1"/>
  <c r="E172" i="2" a="1"/>
  <c r="E172" i="2" s="1"/>
  <c r="A353" i="2" a="1"/>
  <c r="A353" i="2" s="1"/>
  <c r="I353" i="2" s="1"/>
  <c r="E131" i="2" a="1"/>
  <c r="E131" i="2" s="1"/>
  <c r="E391" i="2" a="1"/>
  <c r="E391" i="2" s="1"/>
  <c r="F391" i="2" s="1"/>
  <c r="G391" i="2" s="1"/>
  <c r="E41" i="2" a="1"/>
  <c r="E41" i="2" s="1"/>
  <c r="A381" i="2" a="1"/>
  <c r="A381" i="2" s="1"/>
  <c r="I381" i="2" s="1"/>
  <c r="A311" i="2" a="1"/>
  <c r="A311" i="2" s="1"/>
  <c r="I311" i="2" s="1"/>
  <c r="A113" i="2" a="1"/>
  <c r="A113" i="2" s="1"/>
  <c r="E320" i="2" a="1"/>
  <c r="E320" i="2" s="1"/>
  <c r="F320" i="2" s="1"/>
  <c r="G320" i="2" s="1"/>
  <c r="E272" i="2" a="1"/>
  <c r="E272" i="2" s="1"/>
  <c r="F272" i="2" s="1"/>
  <c r="G272" i="2" s="1"/>
  <c r="E230" i="2" a="1"/>
  <c r="E230" i="2" s="1"/>
  <c r="E182" i="2" a="1"/>
  <c r="E182" i="2" s="1"/>
  <c r="E141" i="2" a="1"/>
  <c r="E141" i="2" s="1"/>
  <c r="E100" i="2" a="1"/>
  <c r="E100" i="2" s="1"/>
  <c r="E60" i="2" a="1"/>
  <c r="E60" i="2" s="1"/>
  <c r="E12" i="2" a="1"/>
  <c r="E12" i="2" s="1"/>
  <c r="E13" i="2" a="1"/>
  <c r="E13" i="2" s="1"/>
  <c r="E11" i="2" a="1"/>
  <c r="E11" i="2" s="1"/>
  <c r="E10" i="2" a="1"/>
  <c r="E10" i="2" s="1"/>
  <c r="A201" i="2" a="1"/>
  <c r="A201" i="2" s="1"/>
  <c r="A161" i="2" a="1"/>
  <c r="A161" i="2" s="1"/>
  <c r="A62" i="2" a="1"/>
  <c r="A62" i="2" s="1"/>
  <c r="A31" i="2" a="1"/>
  <c r="A31" i="2" s="1"/>
  <c r="E399" i="2" a="1"/>
  <c r="E399" i="2" s="1"/>
  <c r="F399" i="2" s="1"/>
  <c r="G399" i="2" s="1"/>
  <c r="E389" i="2" a="1"/>
  <c r="E389" i="2" s="1"/>
  <c r="F389" i="2" s="1"/>
  <c r="G389" i="2" s="1"/>
  <c r="E379" i="2" a="1"/>
  <c r="E379" i="2" s="1"/>
  <c r="F379" i="2" s="1"/>
  <c r="G379" i="2" s="1"/>
  <c r="E369" i="2" a="1"/>
  <c r="E369" i="2" s="1"/>
  <c r="F369" i="2" s="1"/>
  <c r="G369" i="2" s="1"/>
  <c r="E359" i="2" a="1"/>
  <c r="E359" i="2" s="1"/>
  <c r="F359" i="2" s="1"/>
  <c r="G359" i="2" s="1"/>
  <c r="E349" i="2" a="1"/>
  <c r="E349" i="2" s="1"/>
  <c r="F349" i="2" s="1"/>
  <c r="G349" i="2" s="1"/>
  <c r="E339" i="2" a="1"/>
  <c r="E339" i="2" s="1"/>
  <c r="F339" i="2" s="1"/>
  <c r="G339" i="2" s="1"/>
  <c r="E329" i="2" a="1"/>
  <c r="E329" i="2" s="1"/>
  <c r="F329" i="2" s="1"/>
  <c r="G329" i="2" s="1"/>
  <c r="E319" i="2" a="1"/>
  <c r="E319" i="2" s="1"/>
  <c r="F319" i="2" s="1"/>
  <c r="G319" i="2" s="1"/>
  <c r="E309" i="2" a="1"/>
  <c r="E309" i="2" s="1"/>
  <c r="F309" i="2" s="1"/>
  <c r="G309" i="2" s="1"/>
  <c r="E299" i="2" a="1"/>
  <c r="E299" i="2" s="1"/>
  <c r="F299" i="2" s="1"/>
  <c r="G299" i="2" s="1"/>
  <c r="E289" i="2" a="1"/>
  <c r="E289" i="2" s="1"/>
  <c r="F289" i="2" s="1"/>
  <c r="G289" i="2" s="1"/>
  <c r="E279" i="2" a="1"/>
  <c r="E279" i="2" s="1"/>
  <c r="F279" i="2" s="1"/>
  <c r="G279" i="2" s="1"/>
  <c r="E269" i="2" a="1"/>
  <c r="E269" i="2" s="1"/>
  <c r="F269" i="2" s="1"/>
  <c r="G269" i="2" s="1"/>
  <c r="E259" i="2" a="1"/>
  <c r="E259" i="2" s="1"/>
  <c r="E249" i="2" a="1"/>
  <c r="E249" i="2" s="1"/>
  <c r="E239" i="2" a="1"/>
  <c r="E239" i="2" s="1"/>
  <c r="E229" i="2" a="1"/>
  <c r="E229" i="2" s="1"/>
  <c r="E219" i="2" a="1"/>
  <c r="E219" i="2" s="1"/>
  <c r="E209" i="2" a="1"/>
  <c r="E209" i="2" s="1"/>
  <c r="E199" i="2" a="1"/>
  <c r="E199" i="2" s="1"/>
  <c r="E189" i="2" a="1"/>
  <c r="E189" i="2" s="1"/>
  <c r="E179" i="2" a="1"/>
  <c r="E179" i="2" s="1"/>
  <c r="E169" i="2" a="1"/>
  <c r="E169" i="2" s="1"/>
  <c r="E159" i="2" a="1"/>
  <c r="E159" i="2" s="1"/>
  <c r="E149" i="2" a="1"/>
  <c r="E149" i="2" s="1"/>
  <c r="E139" i="2" a="1"/>
  <c r="E139" i="2" s="1"/>
  <c r="E129" i="2" a="1"/>
  <c r="E129" i="2" s="1"/>
  <c r="E119" i="2" a="1"/>
  <c r="E119" i="2" s="1"/>
  <c r="E109" i="2" a="1"/>
  <c r="E109" i="2" s="1"/>
  <c r="E99" i="2" a="1"/>
  <c r="E99" i="2" s="1"/>
  <c r="E89" i="2" a="1"/>
  <c r="E89" i="2" s="1"/>
  <c r="E79" i="2" a="1"/>
  <c r="E79" i="2" s="1"/>
  <c r="E69" i="2" a="1"/>
  <c r="E69" i="2" s="1"/>
  <c r="E59" i="2" a="1"/>
  <c r="E59" i="2" s="1"/>
  <c r="E49" i="2" a="1"/>
  <c r="E49" i="2" s="1"/>
  <c r="E39" i="2" a="1"/>
  <c r="E39" i="2" s="1"/>
  <c r="E29" i="2" a="1"/>
  <c r="E29" i="2" s="1"/>
  <c r="E19" i="2" a="1"/>
  <c r="E19" i="2" s="1"/>
  <c r="E9" i="2" a="1"/>
  <c r="E9" i="2" s="1"/>
  <c r="A372" i="2" a="1"/>
  <c r="A372" i="2" s="1"/>
  <c r="I372" i="2" s="1"/>
  <c r="A303" i="2" a="1"/>
  <c r="A303" i="2" s="1"/>
  <c r="I303" i="2" s="1"/>
  <c r="A271" i="2" a="1"/>
  <c r="A271" i="2" s="1"/>
  <c r="I271" i="2" s="1"/>
  <c r="A232" i="2" a="1"/>
  <c r="A232" i="2" s="1"/>
  <c r="A200" i="2" a="1"/>
  <c r="A200" i="2" s="1"/>
  <c r="A153" i="2" a="1"/>
  <c r="A153" i="2" s="1"/>
  <c r="A111" i="2" a="1"/>
  <c r="A111" i="2" s="1"/>
  <c r="A30" i="2" a="1"/>
  <c r="A30" i="2" s="1"/>
  <c r="A333" i="2" a="1"/>
  <c r="A333" i="2" s="1"/>
  <c r="I333" i="2" s="1"/>
  <c r="A302" i="2" a="1"/>
  <c r="A302" i="2" s="1"/>
  <c r="I302" i="2" s="1"/>
  <c r="A270" i="2" a="1"/>
  <c r="A270" i="2" s="1"/>
  <c r="I270" i="2" s="1"/>
  <c r="A193" i="2" a="1"/>
  <c r="A193" i="2" s="1"/>
  <c r="A152" i="2" a="1"/>
  <c r="A152" i="2" s="1"/>
  <c r="A103" i="2" a="1"/>
  <c r="A103" i="2" s="1"/>
  <c r="A61" i="2" a="1"/>
  <c r="A61" i="2" s="1"/>
  <c r="A23" i="2" a="1"/>
  <c r="A23" i="2" s="1"/>
  <c r="E398" i="2" a="1"/>
  <c r="E398" i="2" s="1"/>
  <c r="F398" i="2" s="1"/>
  <c r="G398" i="2" s="1"/>
  <c r="E388" i="2" a="1"/>
  <c r="E388" i="2" s="1"/>
  <c r="F388" i="2" s="1"/>
  <c r="G388" i="2" s="1"/>
  <c r="E378" i="2" a="1"/>
  <c r="E378" i="2" s="1"/>
  <c r="F378" i="2" s="1"/>
  <c r="G378" i="2" s="1"/>
  <c r="E368" i="2" a="1"/>
  <c r="E368" i="2" s="1"/>
  <c r="F368" i="2" s="1"/>
  <c r="G368" i="2" s="1"/>
  <c r="E358" i="2" a="1"/>
  <c r="E358" i="2" s="1"/>
  <c r="F358" i="2" s="1"/>
  <c r="G358" i="2" s="1"/>
  <c r="E348" i="2" a="1"/>
  <c r="E348" i="2" s="1"/>
  <c r="F348" i="2" s="1"/>
  <c r="G348" i="2" s="1"/>
  <c r="E338" i="2" a="1"/>
  <c r="E338" i="2" s="1"/>
  <c r="F338" i="2" s="1"/>
  <c r="G338" i="2" s="1"/>
  <c r="E328" i="2" a="1"/>
  <c r="E328" i="2" s="1"/>
  <c r="F328" i="2" s="1"/>
  <c r="G328" i="2" s="1"/>
  <c r="E318" i="2" a="1"/>
  <c r="E318" i="2" s="1"/>
  <c r="F318" i="2" s="1"/>
  <c r="G318" i="2" s="1"/>
  <c r="E308" i="2" a="1"/>
  <c r="E308" i="2" s="1"/>
  <c r="F308" i="2" s="1"/>
  <c r="G308" i="2" s="1"/>
  <c r="E298" i="2" a="1"/>
  <c r="E298" i="2" s="1"/>
  <c r="F298" i="2" s="1"/>
  <c r="G298" i="2" s="1"/>
  <c r="E288" i="2" a="1"/>
  <c r="E288" i="2" s="1"/>
  <c r="F288" i="2" s="1"/>
  <c r="G288" i="2" s="1"/>
  <c r="E278" i="2" a="1"/>
  <c r="E278" i="2" s="1"/>
  <c r="F278" i="2" s="1"/>
  <c r="G278" i="2" s="1"/>
  <c r="E268" i="2" a="1"/>
  <c r="E268" i="2" s="1"/>
  <c r="F268" i="2" s="1"/>
  <c r="G268" i="2" s="1"/>
  <c r="E258" i="2" a="1"/>
  <c r="E258" i="2" s="1"/>
  <c r="F258" i="2" s="1"/>
  <c r="G258" i="2" s="1"/>
  <c r="E248" i="2" a="1"/>
  <c r="E248" i="2" s="1"/>
  <c r="E238" i="2" a="1"/>
  <c r="E238" i="2" s="1"/>
  <c r="E228" i="2" a="1"/>
  <c r="E228" i="2" s="1"/>
  <c r="E218" i="2" a="1"/>
  <c r="E218" i="2" s="1"/>
  <c r="E208" i="2" a="1"/>
  <c r="E208" i="2" s="1"/>
  <c r="E198" i="2" a="1"/>
  <c r="E198" i="2" s="1"/>
  <c r="E188" i="2" a="1"/>
  <c r="E188" i="2" s="1"/>
  <c r="E178" i="2" a="1"/>
  <c r="E178" i="2" s="1"/>
  <c r="E168" i="2" a="1"/>
  <c r="E168" i="2" s="1"/>
  <c r="E158" i="2" a="1"/>
  <c r="E158" i="2" s="1"/>
  <c r="E148" i="2" a="1"/>
  <c r="E148" i="2" s="1"/>
  <c r="E138" i="2" a="1"/>
  <c r="E138" i="2" s="1"/>
  <c r="E128" i="2" a="1"/>
  <c r="E128" i="2" s="1"/>
  <c r="E118" i="2" a="1"/>
  <c r="E118" i="2" s="1"/>
  <c r="E108" i="2" a="1"/>
  <c r="E108" i="2" s="1"/>
  <c r="E98" i="2" a="1"/>
  <c r="E98" i="2" s="1"/>
  <c r="E88" i="2" a="1"/>
  <c r="E88" i="2" s="1"/>
  <c r="E78" i="2" a="1"/>
  <c r="E78" i="2" s="1"/>
  <c r="E68" i="2" a="1"/>
  <c r="E68" i="2" s="1"/>
  <c r="E58" i="2" a="1"/>
  <c r="E58" i="2" s="1"/>
  <c r="E48" i="2" a="1"/>
  <c r="E48" i="2" s="1"/>
  <c r="E38" i="2" a="1"/>
  <c r="E38" i="2" s="1"/>
  <c r="E28" i="2" a="1"/>
  <c r="E28" i="2" s="1"/>
  <c r="E18" i="2" a="1"/>
  <c r="E18" i="2" s="1"/>
  <c r="E8" i="2" a="1"/>
  <c r="E8" i="2" s="1"/>
  <c r="A403" i="2" a="1"/>
  <c r="A403" i="2" s="1"/>
  <c r="I403" i="2" s="1"/>
  <c r="A371" i="2" a="1"/>
  <c r="A371" i="2" s="1"/>
  <c r="I371" i="2" s="1"/>
  <c r="A301" i="2" a="1"/>
  <c r="A301" i="2" s="1"/>
  <c r="I301" i="2" s="1"/>
  <c r="A231" i="2" a="1"/>
  <c r="A231" i="2" s="1"/>
  <c r="A151" i="2" a="1"/>
  <c r="A151" i="2" s="1"/>
  <c r="A102" i="2" a="1"/>
  <c r="A102" i="2" s="1"/>
  <c r="A60" i="2" a="1"/>
  <c r="A60" i="2" s="1"/>
  <c r="A22" i="2" a="1"/>
  <c r="A22" i="2" s="1"/>
  <c r="A402" i="2" a="1"/>
  <c r="A402" i="2" s="1"/>
  <c r="I402" i="2" s="1"/>
  <c r="A370" i="2" a="1"/>
  <c r="A370" i="2" s="1"/>
  <c r="I370" i="2" s="1"/>
  <c r="A332" i="2" a="1"/>
  <c r="A332" i="2" s="1"/>
  <c r="I332" i="2" s="1"/>
  <c r="A300" i="2" a="1"/>
  <c r="A300" i="2" s="1"/>
  <c r="I300" i="2" s="1"/>
  <c r="A263" i="2" a="1"/>
  <c r="A263" i="2" s="1"/>
  <c r="I263" i="2" s="1"/>
  <c r="A230" i="2" a="1"/>
  <c r="A230" i="2" s="1"/>
  <c r="A192" i="2" a="1"/>
  <c r="A192" i="2" s="1"/>
  <c r="A101" i="2" a="1"/>
  <c r="A101" i="2" s="1"/>
  <c r="E397" i="2" a="1"/>
  <c r="E397" i="2" s="1"/>
  <c r="F397" i="2" s="1"/>
  <c r="G397" i="2" s="1"/>
  <c r="E387" i="2" a="1"/>
  <c r="E387" i="2" s="1"/>
  <c r="F387" i="2" s="1"/>
  <c r="G387" i="2" s="1"/>
  <c r="E377" i="2" a="1"/>
  <c r="E377" i="2" s="1"/>
  <c r="F377" i="2" s="1"/>
  <c r="G377" i="2" s="1"/>
  <c r="E367" i="2" a="1"/>
  <c r="E367" i="2" s="1"/>
  <c r="F367" i="2" s="1"/>
  <c r="G367" i="2" s="1"/>
  <c r="E357" i="2" a="1"/>
  <c r="E357" i="2" s="1"/>
  <c r="F357" i="2" s="1"/>
  <c r="G357" i="2" s="1"/>
  <c r="E347" i="2" a="1"/>
  <c r="E347" i="2" s="1"/>
  <c r="F347" i="2" s="1"/>
  <c r="G347" i="2" s="1"/>
  <c r="E337" i="2" a="1"/>
  <c r="E337" i="2" s="1"/>
  <c r="F337" i="2" s="1"/>
  <c r="G337" i="2" s="1"/>
  <c r="E327" i="2" a="1"/>
  <c r="E327" i="2" s="1"/>
  <c r="F327" i="2" s="1"/>
  <c r="G327" i="2" s="1"/>
  <c r="E317" i="2" a="1"/>
  <c r="E317" i="2" s="1"/>
  <c r="F317" i="2" s="1"/>
  <c r="G317" i="2" s="1"/>
  <c r="E307" i="2" a="1"/>
  <c r="E307" i="2" s="1"/>
  <c r="F307" i="2" s="1"/>
  <c r="G307" i="2" s="1"/>
  <c r="E297" i="2" a="1"/>
  <c r="E297" i="2" s="1"/>
  <c r="F297" i="2" s="1"/>
  <c r="G297" i="2" s="1"/>
  <c r="E287" i="2" a="1"/>
  <c r="E287" i="2" s="1"/>
  <c r="F287" i="2" s="1"/>
  <c r="G287" i="2" s="1"/>
  <c r="E277" i="2" a="1"/>
  <c r="E277" i="2" s="1"/>
  <c r="F277" i="2" s="1"/>
  <c r="G277" i="2" s="1"/>
  <c r="E267" i="2" a="1"/>
  <c r="E267" i="2" s="1"/>
  <c r="F267" i="2" s="1"/>
  <c r="G267" i="2" s="1"/>
  <c r="E257" i="2" a="1"/>
  <c r="E257" i="2" s="1"/>
  <c r="F257" i="2" s="1"/>
  <c r="G257" i="2" s="1"/>
  <c r="E247" i="2" a="1"/>
  <c r="E247" i="2" s="1"/>
  <c r="E237" i="2" a="1"/>
  <c r="E237" i="2" s="1"/>
  <c r="E227" i="2" a="1"/>
  <c r="E227" i="2" s="1"/>
  <c r="E217" i="2" a="1"/>
  <c r="E217" i="2" s="1"/>
  <c r="E207" i="2" a="1"/>
  <c r="E207" i="2" s="1"/>
  <c r="E197" i="2" a="1"/>
  <c r="E197" i="2" s="1"/>
  <c r="E187" i="2" a="1"/>
  <c r="E187" i="2" s="1"/>
  <c r="E177" i="2" a="1"/>
  <c r="E177" i="2" s="1"/>
  <c r="E167" i="2" a="1"/>
  <c r="E167" i="2" s="1"/>
  <c r="E157" i="2" a="1"/>
  <c r="E157" i="2" s="1"/>
  <c r="E147" i="2" a="1"/>
  <c r="E147" i="2" s="1"/>
  <c r="E137" i="2" a="1"/>
  <c r="E137" i="2" s="1"/>
  <c r="E127" i="2" a="1"/>
  <c r="E127" i="2" s="1"/>
  <c r="E117" i="2" a="1"/>
  <c r="E117" i="2" s="1"/>
  <c r="E107" i="2" a="1"/>
  <c r="E107" i="2" s="1"/>
  <c r="E97" i="2" a="1"/>
  <c r="E97" i="2" s="1"/>
  <c r="E87" i="2" a="1"/>
  <c r="E87" i="2" s="1"/>
  <c r="E77" i="2" a="1"/>
  <c r="E77" i="2" s="1"/>
  <c r="E67" i="2" a="1"/>
  <c r="E67" i="2" s="1"/>
  <c r="E57" i="2" a="1"/>
  <c r="E57" i="2" s="1"/>
  <c r="E47" i="2" a="1"/>
  <c r="E47" i="2" s="1"/>
  <c r="E37" i="2" a="1"/>
  <c r="E37" i="2" s="1"/>
  <c r="E27" i="2" a="1"/>
  <c r="E27" i="2" s="1"/>
  <c r="E17" i="2" a="1"/>
  <c r="E17" i="2" s="1"/>
  <c r="E7" i="2" a="1"/>
  <c r="E7" i="2" s="1"/>
  <c r="A401" i="2" a="1"/>
  <c r="A401" i="2" s="1"/>
  <c r="I401" i="2" s="1"/>
  <c r="A223" i="2" a="1"/>
  <c r="A223" i="2" s="1"/>
  <c r="A143" i="2" a="1"/>
  <c r="A143" i="2" s="1"/>
  <c r="A53" i="2" a="1"/>
  <c r="A53" i="2" s="1"/>
  <c r="A21" i="2" a="1"/>
  <c r="A21" i="2" s="1"/>
  <c r="A400" i="2" a="1"/>
  <c r="A400" i="2" s="1"/>
  <c r="I400" i="2" s="1"/>
  <c r="A363" i="2" a="1"/>
  <c r="A363" i="2" s="1"/>
  <c r="I363" i="2" s="1"/>
  <c r="A331" i="2" a="1"/>
  <c r="A331" i="2" s="1"/>
  <c r="I331" i="2" s="1"/>
  <c r="A293" i="2" a="1"/>
  <c r="A293" i="2" s="1"/>
  <c r="I293" i="2" s="1"/>
  <c r="A262" i="2" a="1"/>
  <c r="A262" i="2" s="1"/>
  <c r="A191" i="2" a="1"/>
  <c r="A191" i="2" s="1"/>
  <c r="A93" i="2" a="1"/>
  <c r="A93" i="2" s="1"/>
  <c r="A13" i="2" a="1"/>
  <c r="A13" i="2" s="1"/>
  <c r="E396" i="2" a="1"/>
  <c r="E396" i="2" s="1"/>
  <c r="F396" i="2" s="1"/>
  <c r="G396" i="2" s="1"/>
  <c r="E386" i="2" a="1"/>
  <c r="E386" i="2" s="1"/>
  <c r="F386" i="2" s="1"/>
  <c r="G386" i="2" s="1"/>
  <c r="E376" i="2" a="1"/>
  <c r="E376" i="2" s="1"/>
  <c r="F376" i="2" s="1"/>
  <c r="G376" i="2" s="1"/>
  <c r="E366" i="2" a="1"/>
  <c r="E366" i="2" s="1"/>
  <c r="F366" i="2" s="1"/>
  <c r="G366" i="2" s="1"/>
  <c r="E356" i="2" a="1"/>
  <c r="E356" i="2" s="1"/>
  <c r="F356" i="2" s="1"/>
  <c r="G356" i="2" s="1"/>
  <c r="E346" i="2" a="1"/>
  <c r="E346" i="2" s="1"/>
  <c r="F346" i="2" s="1"/>
  <c r="G346" i="2" s="1"/>
  <c r="E336" i="2" a="1"/>
  <c r="E336" i="2" s="1"/>
  <c r="F336" i="2" s="1"/>
  <c r="G336" i="2" s="1"/>
  <c r="E326" i="2" a="1"/>
  <c r="E326" i="2" s="1"/>
  <c r="F326" i="2" s="1"/>
  <c r="G326" i="2" s="1"/>
  <c r="E316" i="2" a="1"/>
  <c r="E316" i="2" s="1"/>
  <c r="F316" i="2" s="1"/>
  <c r="G316" i="2" s="1"/>
  <c r="E306" i="2" a="1"/>
  <c r="E306" i="2" s="1"/>
  <c r="F306" i="2" s="1"/>
  <c r="G306" i="2" s="1"/>
  <c r="E296" i="2" a="1"/>
  <c r="E296" i="2" s="1"/>
  <c r="F296" i="2" s="1"/>
  <c r="G296" i="2" s="1"/>
  <c r="E286" i="2" a="1"/>
  <c r="E286" i="2" s="1"/>
  <c r="F286" i="2" s="1"/>
  <c r="G286" i="2" s="1"/>
  <c r="E276" i="2" a="1"/>
  <c r="E276" i="2" s="1"/>
  <c r="F276" i="2" s="1"/>
  <c r="G276" i="2" s="1"/>
  <c r="E266" i="2" a="1"/>
  <c r="E266" i="2" s="1"/>
  <c r="F266" i="2" s="1"/>
  <c r="G266" i="2" s="1"/>
  <c r="E256" i="2" a="1"/>
  <c r="E256" i="2" s="1"/>
  <c r="E246" i="2" a="1"/>
  <c r="E246" i="2" s="1"/>
  <c r="E236" i="2" a="1"/>
  <c r="E236" i="2" s="1"/>
  <c r="E226" i="2" a="1"/>
  <c r="E226" i="2" s="1"/>
  <c r="E216" i="2" a="1"/>
  <c r="E216" i="2" s="1"/>
  <c r="E206" i="2" a="1"/>
  <c r="E206" i="2" s="1"/>
  <c r="E196" i="2" a="1"/>
  <c r="E196" i="2" s="1"/>
  <c r="E186" i="2" a="1"/>
  <c r="E186" i="2" s="1"/>
  <c r="E176" i="2" a="1"/>
  <c r="E176" i="2" s="1"/>
  <c r="E166" i="2" a="1"/>
  <c r="E166" i="2" s="1"/>
  <c r="E156" i="2" a="1"/>
  <c r="E156" i="2" s="1"/>
  <c r="E146" i="2" a="1"/>
  <c r="E146" i="2" s="1"/>
  <c r="E136" i="2" a="1"/>
  <c r="E136" i="2" s="1"/>
  <c r="E126" i="2" a="1"/>
  <c r="E126" i="2" s="1"/>
  <c r="E116" i="2" a="1"/>
  <c r="E116" i="2" s="1"/>
  <c r="E106" i="2" a="1"/>
  <c r="E106" i="2" s="1"/>
  <c r="E96" i="2" a="1"/>
  <c r="E96" i="2" s="1"/>
  <c r="E86" i="2" a="1"/>
  <c r="E86" i="2" s="1"/>
  <c r="E76" i="2" a="1"/>
  <c r="E76" i="2" s="1"/>
  <c r="E66" i="2" a="1"/>
  <c r="E66" i="2" s="1"/>
  <c r="E56" i="2" a="1"/>
  <c r="E56" i="2" s="1"/>
  <c r="E46" i="2" a="1"/>
  <c r="E46" i="2" s="1"/>
  <c r="E36" i="2" a="1"/>
  <c r="E36" i="2" s="1"/>
  <c r="E26" i="2" a="1"/>
  <c r="E26" i="2" s="1"/>
  <c r="E16" i="2" a="1"/>
  <c r="E16" i="2" s="1"/>
  <c r="E6" i="2" a="1"/>
  <c r="E6" i="2" s="1"/>
  <c r="A393" i="2" a="1"/>
  <c r="A393" i="2" s="1"/>
  <c r="I393" i="2" s="1"/>
  <c r="A330" i="2" a="1"/>
  <c r="A330" i="2" s="1"/>
  <c r="I330" i="2" s="1"/>
  <c r="A292" i="2" a="1"/>
  <c r="A292" i="2" s="1"/>
  <c r="I292" i="2" s="1"/>
  <c r="A261" i="2" a="1"/>
  <c r="A261" i="2" s="1"/>
  <c r="A222" i="2" a="1"/>
  <c r="A222" i="2" s="1"/>
  <c r="A190" i="2" a="1"/>
  <c r="A190" i="2" s="1"/>
  <c r="A142" i="2" a="1"/>
  <c r="A142" i="2" s="1"/>
  <c r="A52" i="2" a="1"/>
  <c r="A52" i="2" s="1"/>
  <c r="A362" i="2" a="1"/>
  <c r="A362" i="2" s="1"/>
  <c r="I362" i="2" s="1"/>
  <c r="A323" i="2" a="1"/>
  <c r="A323" i="2" s="1"/>
  <c r="I323" i="2" s="1"/>
  <c r="A260" i="2" a="1"/>
  <c r="A260" i="2" s="1"/>
  <c r="A183" i="2" a="1"/>
  <c r="A183" i="2" s="1"/>
  <c r="A141" i="2" a="1"/>
  <c r="A141" i="2" s="1"/>
  <c r="A92" i="2" a="1"/>
  <c r="A92" i="2" s="1"/>
  <c r="A12" i="2" a="1"/>
  <c r="A12" i="2" s="1"/>
  <c r="E395" i="2" a="1"/>
  <c r="E395" i="2" s="1"/>
  <c r="F395" i="2" s="1"/>
  <c r="G395" i="2" s="1"/>
  <c r="E385" i="2" a="1"/>
  <c r="E385" i="2" s="1"/>
  <c r="F385" i="2" s="1"/>
  <c r="G385" i="2" s="1"/>
  <c r="E375" i="2" a="1"/>
  <c r="E375" i="2" s="1"/>
  <c r="F375" i="2" s="1"/>
  <c r="G375" i="2" s="1"/>
  <c r="E365" i="2" a="1"/>
  <c r="E365" i="2" s="1"/>
  <c r="F365" i="2" s="1"/>
  <c r="G365" i="2" s="1"/>
  <c r="E355" i="2" a="1"/>
  <c r="E355" i="2" s="1"/>
  <c r="F355" i="2" s="1"/>
  <c r="G355" i="2" s="1"/>
  <c r="E345" i="2" a="1"/>
  <c r="E345" i="2" s="1"/>
  <c r="F345" i="2" s="1"/>
  <c r="G345" i="2" s="1"/>
  <c r="E335" i="2" a="1"/>
  <c r="E335" i="2" s="1"/>
  <c r="F335" i="2" s="1"/>
  <c r="G335" i="2" s="1"/>
  <c r="E325" i="2" a="1"/>
  <c r="E325" i="2" s="1"/>
  <c r="F325" i="2" s="1"/>
  <c r="G325" i="2" s="1"/>
  <c r="E315" i="2" a="1"/>
  <c r="E315" i="2" s="1"/>
  <c r="F315" i="2" s="1"/>
  <c r="G315" i="2" s="1"/>
  <c r="E305" i="2" a="1"/>
  <c r="E305" i="2" s="1"/>
  <c r="F305" i="2" s="1"/>
  <c r="G305" i="2" s="1"/>
  <c r="E295" i="2" a="1"/>
  <c r="E295" i="2" s="1"/>
  <c r="F295" i="2" s="1"/>
  <c r="G295" i="2" s="1"/>
  <c r="E285" i="2" a="1"/>
  <c r="E285" i="2" s="1"/>
  <c r="F285" i="2" s="1"/>
  <c r="G285" i="2" s="1"/>
  <c r="E275" i="2" a="1"/>
  <c r="E275" i="2" s="1"/>
  <c r="F275" i="2" s="1"/>
  <c r="G275" i="2" s="1"/>
  <c r="E265" i="2" a="1"/>
  <c r="E265" i="2" s="1"/>
  <c r="F265" i="2" s="1"/>
  <c r="G265" i="2" s="1"/>
  <c r="E255" i="2" a="1"/>
  <c r="E255" i="2" s="1"/>
  <c r="E245" i="2" a="1"/>
  <c r="E245" i="2" s="1"/>
  <c r="E235" i="2" a="1"/>
  <c r="E235" i="2" s="1"/>
  <c r="E225" i="2" a="1"/>
  <c r="E225" i="2" s="1"/>
  <c r="E215" i="2" a="1"/>
  <c r="E215" i="2" s="1"/>
  <c r="E205" i="2" a="1"/>
  <c r="E205" i="2" s="1"/>
  <c r="E195" i="2" a="1"/>
  <c r="E195" i="2" s="1"/>
  <c r="E185" i="2" a="1"/>
  <c r="E185" i="2" s="1"/>
  <c r="E175" i="2" a="1"/>
  <c r="E175" i="2" s="1"/>
  <c r="E165" i="2" a="1"/>
  <c r="E165" i="2" s="1"/>
  <c r="E155" i="2" a="1"/>
  <c r="E155" i="2" s="1"/>
  <c r="E145" i="2" a="1"/>
  <c r="E145" i="2" s="1"/>
  <c r="E135" i="2" a="1"/>
  <c r="E135" i="2" s="1"/>
  <c r="E125" i="2" a="1"/>
  <c r="E125" i="2" s="1"/>
  <c r="E115" i="2" a="1"/>
  <c r="E115" i="2" s="1"/>
  <c r="E105" i="2" a="1"/>
  <c r="E105" i="2" s="1"/>
  <c r="E95" i="2" a="1"/>
  <c r="E95" i="2" s="1"/>
  <c r="E85" i="2" a="1"/>
  <c r="E85" i="2" s="1"/>
  <c r="E75" i="2" a="1"/>
  <c r="E75" i="2" s="1"/>
  <c r="E65" i="2" a="1"/>
  <c r="E65" i="2" s="1"/>
  <c r="E55" i="2" a="1"/>
  <c r="E55" i="2" s="1"/>
  <c r="E45" i="2" a="1"/>
  <c r="E45" i="2" s="1"/>
  <c r="E35" i="2" a="1"/>
  <c r="E35" i="2" s="1"/>
  <c r="E25" i="2" a="1"/>
  <c r="E25" i="2" s="1"/>
  <c r="E15" i="2" a="1"/>
  <c r="E15" i="2" s="1"/>
  <c r="E5" i="2" a="1"/>
  <c r="E5" i="2" s="1"/>
  <c r="A392" i="2" a="1"/>
  <c r="A392" i="2" s="1"/>
  <c r="I392" i="2" s="1"/>
  <c r="A361" i="2" a="1"/>
  <c r="A361" i="2" s="1"/>
  <c r="I361" i="2" s="1"/>
  <c r="A291" i="2" a="1"/>
  <c r="A291" i="2" s="1"/>
  <c r="I291" i="2" s="1"/>
  <c r="A221" i="2" a="1"/>
  <c r="A221" i="2" s="1"/>
  <c r="A182" i="2" a="1"/>
  <c r="A182" i="2" s="1"/>
  <c r="A133" i="2" a="1"/>
  <c r="A133" i="2" s="1"/>
  <c r="A91" i="2" a="1"/>
  <c r="A91" i="2" s="1"/>
  <c r="A51" i="2" a="1"/>
  <c r="A51" i="2" s="1"/>
  <c r="A360" i="2" a="1"/>
  <c r="A360" i="2" s="1"/>
  <c r="I360" i="2" s="1"/>
  <c r="A322" i="2" a="1"/>
  <c r="A322" i="2" s="1"/>
  <c r="I322" i="2" s="1"/>
  <c r="A290" i="2" a="1"/>
  <c r="A290" i="2" s="1"/>
  <c r="I290" i="2" s="1"/>
  <c r="A253" i="2" a="1"/>
  <c r="A253" i="2" s="1"/>
  <c r="A220" i="2" a="1"/>
  <c r="A220" i="2" s="1"/>
  <c r="A132" i="2" a="1"/>
  <c r="A132" i="2" s="1"/>
  <c r="A83" i="2" a="1"/>
  <c r="A83" i="2" s="1"/>
  <c r="A50" i="2" a="1"/>
  <c r="A50" i="2" s="1"/>
  <c r="A11" i="2" a="1"/>
  <c r="A11" i="2" s="1"/>
  <c r="E394" i="2" a="1"/>
  <c r="E394" i="2" s="1"/>
  <c r="F394" i="2" s="1"/>
  <c r="G394" i="2" s="1"/>
  <c r="E384" i="2" a="1"/>
  <c r="E384" i="2" s="1"/>
  <c r="F384" i="2" s="1"/>
  <c r="G384" i="2" s="1"/>
  <c r="E374" i="2" a="1"/>
  <c r="E374" i="2" s="1"/>
  <c r="F374" i="2" s="1"/>
  <c r="G374" i="2" s="1"/>
  <c r="E364" i="2" a="1"/>
  <c r="E364" i="2" s="1"/>
  <c r="F364" i="2" s="1"/>
  <c r="G364" i="2" s="1"/>
  <c r="E354" i="2" a="1"/>
  <c r="E354" i="2" s="1"/>
  <c r="F354" i="2" s="1"/>
  <c r="G354" i="2" s="1"/>
  <c r="E344" i="2" a="1"/>
  <c r="E344" i="2" s="1"/>
  <c r="F344" i="2" s="1"/>
  <c r="G344" i="2" s="1"/>
  <c r="E334" i="2" a="1"/>
  <c r="E334" i="2" s="1"/>
  <c r="F334" i="2" s="1"/>
  <c r="G334" i="2" s="1"/>
  <c r="E324" i="2" a="1"/>
  <c r="E324" i="2" s="1"/>
  <c r="F324" i="2" s="1"/>
  <c r="G324" i="2" s="1"/>
  <c r="E314" i="2" a="1"/>
  <c r="E314" i="2" s="1"/>
  <c r="F314" i="2" s="1"/>
  <c r="G314" i="2" s="1"/>
  <c r="E304" i="2" a="1"/>
  <c r="E304" i="2" s="1"/>
  <c r="F304" i="2" s="1"/>
  <c r="G304" i="2" s="1"/>
  <c r="E294" i="2" a="1"/>
  <c r="E294" i="2" s="1"/>
  <c r="F294" i="2" s="1"/>
  <c r="G294" i="2" s="1"/>
  <c r="E284" i="2" a="1"/>
  <c r="E284" i="2" s="1"/>
  <c r="F284" i="2" s="1"/>
  <c r="G284" i="2" s="1"/>
  <c r="E274" i="2" a="1"/>
  <c r="E274" i="2" s="1"/>
  <c r="F274" i="2" s="1"/>
  <c r="G274" i="2" s="1"/>
  <c r="E264" i="2" a="1"/>
  <c r="E264" i="2" s="1"/>
  <c r="F264" i="2" s="1"/>
  <c r="G264" i="2" s="1"/>
  <c r="E254" i="2" a="1"/>
  <c r="E254" i="2" s="1"/>
  <c r="E244" i="2" a="1"/>
  <c r="E244" i="2" s="1"/>
  <c r="E234" i="2" a="1"/>
  <c r="E234" i="2" s="1"/>
  <c r="E224" i="2" a="1"/>
  <c r="E224" i="2" s="1"/>
  <c r="E214" i="2" a="1"/>
  <c r="E214" i="2" s="1"/>
  <c r="E204" i="2" a="1"/>
  <c r="E204" i="2" s="1"/>
  <c r="E194" i="2" a="1"/>
  <c r="E194" i="2" s="1"/>
  <c r="E184" i="2" a="1"/>
  <c r="E184" i="2" s="1"/>
  <c r="E174" i="2" a="1"/>
  <c r="E174" i="2" s="1"/>
  <c r="E164" i="2" a="1"/>
  <c r="E164" i="2" s="1"/>
  <c r="E154" i="2" a="1"/>
  <c r="E154" i="2" s="1"/>
  <c r="E144" i="2" a="1"/>
  <c r="E144" i="2" s="1"/>
  <c r="E134" i="2" a="1"/>
  <c r="E134" i="2" s="1"/>
  <c r="E124" i="2" a="1"/>
  <c r="E124" i="2" s="1"/>
  <c r="E114" i="2" a="1"/>
  <c r="E114" i="2" s="1"/>
  <c r="E104" i="2" a="1"/>
  <c r="E104" i="2" s="1"/>
  <c r="E94" i="2" a="1"/>
  <c r="E94" i="2" s="1"/>
  <c r="E84" i="2" a="1"/>
  <c r="E84" i="2" s="1"/>
  <c r="E74" i="2" a="1"/>
  <c r="E74" i="2" s="1"/>
  <c r="E64" i="2" a="1"/>
  <c r="E64" i="2" s="1"/>
  <c r="E54" i="2" a="1"/>
  <c r="E54" i="2" s="1"/>
  <c r="E44" i="2" a="1"/>
  <c r="E44" i="2" s="1"/>
  <c r="E34" i="2" a="1"/>
  <c r="E34" i="2" s="1"/>
  <c r="E24" i="2" a="1"/>
  <c r="E24" i="2" s="1"/>
  <c r="E14" i="2" a="1"/>
  <c r="E14" i="2" s="1"/>
  <c r="E4" i="2" a="1"/>
  <c r="E4" i="2" s="1"/>
  <c r="A20" i="2" a="1"/>
  <c r="A20" i="2" s="1"/>
  <c r="A10" i="2" a="1"/>
  <c r="A10" i="2" s="1"/>
  <c r="A399" i="2" a="1"/>
  <c r="A399" i="2" s="1"/>
  <c r="I399" i="2" s="1"/>
  <c r="A389" i="2" a="1"/>
  <c r="A389" i="2" s="1"/>
  <c r="I389" i="2" s="1"/>
  <c r="A379" i="2" a="1"/>
  <c r="A379" i="2" s="1"/>
  <c r="I379" i="2" s="1"/>
  <c r="A369" i="2" a="1"/>
  <c r="A369" i="2" s="1"/>
  <c r="I369" i="2" s="1"/>
  <c r="A359" i="2" a="1"/>
  <c r="A359" i="2" s="1"/>
  <c r="I359" i="2" s="1"/>
  <c r="A349" i="2" a="1"/>
  <c r="A349" i="2" s="1"/>
  <c r="I349" i="2" s="1"/>
  <c r="A339" i="2" a="1"/>
  <c r="A339" i="2" s="1"/>
  <c r="I339" i="2" s="1"/>
  <c r="A329" i="2" a="1"/>
  <c r="A329" i="2" s="1"/>
  <c r="I329" i="2" s="1"/>
  <c r="A319" i="2" a="1"/>
  <c r="A319" i="2" s="1"/>
  <c r="I319" i="2" s="1"/>
  <c r="A309" i="2" a="1"/>
  <c r="A309" i="2" s="1"/>
  <c r="I309" i="2" s="1"/>
  <c r="A299" i="2" a="1"/>
  <c r="A299" i="2" s="1"/>
  <c r="I299" i="2" s="1"/>
  <c r="A289" i="2" a="1"/>
  <c r="A289" i="2" s="1"/>
  <c r="I289" i="2" s="1"/>
  <c r="A279" i="2" a="1"/>
  <c r="A279" i="2" s="1"/>
  <c r="I279" i="2" s="1"/>
  <c r="A269" i="2" a="1"/>
  <c r="A269" i="2" s="1"/>
  <c r="I269" i="2" s="1"/>
  <c r="A259" i="2" a="1"/>
  <c r="A259" i="2" s="1"/>
  <c r="A249" i="2" a="1"/>
  <c r="A249" i="2" s="1"/>
  <c r="A239" i="2" a="1"/>
  <c r="A239" i="2" s="1"/>
  <c r="A229" i="2" a="1"/>
  <c r="A229" i="2" s="1"/>
  <c r="A219" i="2" a="1"/>
  <c r="A219" i="2" s="1"/>
  <c r="A209" i="2" a="1"/>
  <c r="A209" i="2" s="1"/>
  <c r="A199" i="2" a="1"/>
  <c r="A199" i="2" s="1"/>
  <c r="A189" i="2" a="1"/>
  <c r="A189" i="2" s="1"/>
  <c r="A179" i="2" a="1"/>
  <c r="A179" i="2" s="1"/>
  <c r="A169" i="2" a="1"/>
  <c r="A169" i="2" s="1"/>
  <c r="A159" i="2" a="1"/>
  <c r="A159" i="2" s="1"/>
  <c r="A149" i="2" a="1"/>
  <c r="A149" i="2" s="1"/>
  <c r="A139" i="2" a="1"/>
  <c r="A139" i="2" s="1"/>
  <c r="A129" i="2" a="1"/>
  <c r="A129" i="2" s="1"/>
  <c r="A119" i="2" a="1"/>
  <c r="A119" i="2" s="1"/>
  <c r="A109" i="2" a="1"/>
  <c r="A109" i="2" s="1"/>
  <c r="A99" i="2" a="1"/>
  <c r="A99" i="2" s="1"/>
  <c r="A89" i="2" a="1"/>
  <c r="A89" i="2" s="1"/>
  <c r="A79" i="2" a="1"/>
  <c r="A79" i="2" s="1"/>
  <c r="A69" i="2" a="1"/>
  <c r="A69" i="2" s="1"/>
  <c r="A59" i="2" a="1"/>
  <c r="A59" i="2" s="1"/>
  <c r="A49" i="2" a="1"/>
  <c r="A49" i="2" s="1"/>
  <c r="A39" i="2" a="1"/>
  <c r="A39" i="2" s="1"/>
  <c r="A29" i="2" a="1"/>
  <c r="A29" i="2" s="1"/>
  <c r="A19" i="2" a="1"/>
  <c r="A19" i="2" s="1"/>
  <c r="A9" i="2" a="1"/>
  <c r="A9" i="2" s="1"/>
  <c r="A398" i="2" a="1"/>
  <c r="A398" i="2" s="1"/>
  <c r="I398" i="2" s="1"/>
  <c r="A388" i="2" a="1"/>
  <c r="A388" i="2" s="1"/>
  <c r="I388" i="2" s="1"/>
  <c r="A378" i="2" a="1"/>
  <c r="A378" i="2" s="1"/>
  <c r="I378" i="2" s="1"/>
  <c r="A368" i="2" a="1"/>
  <c r="A368" i="2" s="1"/>
  <c r="I368" i="2" s="1"/>
  <c r="A358" i="2" a="1"/>
  <c r="A358" i="2" s="1"/>
  <c r="I358" i="2" s="1"/>
  <c r="A348" i="2" a="1"/>
  <c r="A348" i="2" s="1"/>
  <c r="I348" i="2" s="1"/>
  <c r="A338" i="2" a="1"/>
  <c r="A338" i="2" s="1"/>
  <c r="I338" i="2" s="1"/>
  <c r="A328" i="2" a="1"/>
  <c r="A328" i="2" s="1"/>
  <c r="I328" i="2" s="1"/>
  <c r="A318" i="2" a="1"/>
  <c r="A318" i="2" s="1"/>
  <c r="I318" i="2" s="1"/>
  <c r="A308" i="2" a="1"/>
  <c r="A308" i="2" s="1"/>
  <c r="I308" i="2" s="1"/>
  <c r="A298" i="2" a="1"/>
  <c r="A298" i="2" s="1"/>
  <c r="I298" i="2" s="1"/>
  <c r="A288" i="2" a="1"/>
  <c r="A288" i="2" s="1"/>
  <c r="I288" i="2" s="1"/>
  <c r="A278" i="2" a="1"/>
  <c r="A278" i="2" s="1"/>
  <c r="I278" i="2" s="1"/>
  <c r="A268" i="2" a="1"/>
  <c r="A268" i="2" s="1"/>
  <c r="I268" i="2" s="1"/>
  <c r="A258" i="2" a="1"/>
  <c r="A258" i="2" s="1"/>
  <c r="A248" i="2" a="1"/>
  <c r="A248" i="2" s="1"/>
  <c r="A238" i="2" a="1"/>
  <c r="A238" i="2" s="1"/>
  <c r="A228" i="2" a="1"/>
  <c r="A228" i="2" s="1"/>
  <c r="A218" i="2" a="1"/>
  <c r="A218" i="2" s="1"/>
  <c r="A208" i="2" a="1"/>
  <c r="A208" i="2" s="1"/>
  <c r="A198" i="2" a="1"/>
  <c r="A198" i="2" s="1"/>
  <c r="A188" i="2" a="1"/>
  <c r="A188" i="2" s="1"/>
  <c r="A178" i="2" a="1"/>
  <c r="A178" i="2" s="1"/>
  <c r="A168" i="2" a="1"/>
  <c r="A168" i="2" s="1"/>
  <c r="A158" i="2" a="1"/>
  <c r="A158" i="2" s="1"/>
  <c r="A148" i="2" a="1"/>
  <c r="A148" i="2" s="1"/>
  <c r="A138" i="2" a="1"/>
  <c r="A138" i="2" s="1"/>
  <c r="A128" i="2" a="1"/>
  <c r="A128" i="2" s="1"/>
  <c r="A118" i="2" a="1"/>
  <c r="A118" i="2" s="1"/>
  <c r="A108" i="2" a="1"/>
  <c r="A108" i="2" s="1"/>
  <c r="A98" i="2" a="1"/>
  <c r="A98" i="2" s="1"/>
  <c r="A88" i="2" a="1"/>
  <c r="A88" i="2" s="1"/>
  <c r="A78" i="2" a="1"/>
  <c r="A78" i="2" s="1"/>
  <c r="A68" i="2" a="1"/>
  <c r="A68" i="2" s="1"/>
  <c r="A58" i="2" a="1"/>
  <c r="A58" i="2" s="1"/>
  <c r="A48" i="2" a="1"/>
  <c r="A48" i="2" s="1"/>
  <c r="A38" i="2" a="1"/>
  <c r="A38" i="2" s="1"/>
  <c r="A28" i="2" a="1"/>
  <c r="A28" i="2" s="1"/>
  <c r="A18" i="2" a="1"/>
  <c r="A18" i="2" s="1"/>
  <c r="A8" i="2" a="1"/>
  <c r="A8" i="2" s="1"/>
  <c r="A180" i="2" a="1"/>
  <c r="A180" i="2" s="1"/>
  <c r="A160" i="2" a="1"/>
  <c r="A160" i="2" s="1"/>
  <c r="A130" i="2" a="1"/>
  <c r="A130" i="2" s="1"/>
  <c r="A70" i="2" a="1"/>
  <c r="A70" i="2" s="1"/>
  <c r="A397" i="2" a="1"/>
  <c r="A397" i="2" s="1"/>
  <c r="I397" i="2" s="1"/>
  <c r="A387" i="2" a="1"/>
  <c r="A387" i="2" s="1"/>
  <c r="I387" i="2" s="1"/>
  <c r="A377" i="2" a="1"/>
  <c r="A377" i="2" s="1"/>
  <c r="I377" i="2" s="1"/>
  <c r="A367" i="2" a="1"/>
  <c r="A367" i="2" s="1"/>
  <c r="I367" i="2" s="1"/>
  <c r="A357" i="2" a="1"/>
  <c r="A357" i="2" s="1"/>
  <c r="I357" i="2" s="1"/>
  <c r="A347" i="2" a="1"/>
  <c r="A347" i="2" s="1"/>
  <c r="I347" i="2" s="1"/>
  <c r="A337" i="2" a="1"/>
  <c r="A337" i="2" s="1"/>
  <c r="I337" i="2" s="1"/>
  <c r="A327" i="2" a="1"/>
  <c r="A327" i="2" s="1"/>
  <c r="I327" i="2" s="1"/>
  <c r="A317" i="2" a="1"/>
  <c r="A317" i="2" s="1"/>
  <c r="I317" i="2" s="1"/>
  <c r="A307" i="2" a="1"/>
  <c r="A307" i="2" s="1"/>
  <c r="I307" i="2" s="1"/>
  <c r="A297" i="2" a="1"/>
  <c r="A297" i="2" s="1"/>
  <c r="I297" i="2" s="1"/>
  <c r="A287" i="2" a="1"/>
  <c r="A287" i="2" s="1"/>
  <c r="I287" i="2" s="1"/>
  <c r="A277" i="2" a="1"/>
  <c r="A277" i="2" s="1"/>
  <c r="I277" i="2" s="1"/>
  <c r="A267" i="2" a="1"/>
  <c r="A267" i="2" s="1"/>
  <c r="I267" i="2" s="1"/>
  <c r="A257" i="2" a="1"/>
  <c r="A257" i="2" s="1"/>
  <c r="A247" i="2" a="1"/>
  <c r="A247" i="2" s="1"/>
  <c r="A237" i="2" a="1"/>
  <c r="A237" i="2" s="1"/>
  <c r="A227" i="2" a="1"/>
  <c r="A227" i="2" s="1"/>
  <c r="A217" i="2" a="1"/>
  <c r="A217" i="2" s="1"/>
  <c r="A207" i="2" a="1"/>
  <c r="A207" i="2" s="1"/>
  <c r="A197" i="2" a="1"/>
  <c r="A197" i="2" s="1"/>
  <c r="A187" i="2" a="1"/>
  <c r="A187" i="2" s="1"/>
  <c r="A177" i="2" a="1"/>
  <c r="A177" i="2" s="1"/>
  <c r="A167" i="2" a="1"/>
  <c r="A167" i="2" s="1"/>
  <c r="A157" i="2" a="1"/>
  <c r="A157" i="2" s="1"/>
  <c r="A147" i="2" a="1"/>
  <c r="A147" i="2" s="1"/>
  <c r="A137" i="2" a="1"/>
  <c r="A137" i="2" s="1"/>
  <c r="A127" i="2" a="1"/>
  <c r="A127" i="2" s="1"/>
  <c r="A117" i="2" a="1"/>
  <c r="A117" i="2" s="1"/>
  <c r="A107" i="2" a="1"/>
  <c r="A107" i="2" s="1"/>
  <c r="A97" i="2" a="1"/>
  <c r="A97" i="2" s="1"/>
  <c r="A87" i="2" a="1"/>
  <c r="A87" i="2" s="1"/>
  <c r="A77" i="2" a="1"/>
  <c r="A77" i="2" s="1"/>
  <c r="A67" i="2" a="1"/>
  <c r="A67" i="2" s="1"/>
  <c r="A57" i="2" a="1"/>
  <c r="A57" i="2" s="1"/>
  <c r="A47" i="2" a="1"/>
  <c r="A47" i="2" s="1"/>
  <c r="A37" i="2" a="1"/>
  <c r="A37" i="2" s="1"/>
  <c r="A27" i="2" a="1"/>
  <c r="A27" i="2" s="1"/>
  <c r="A17" i="2" a="1"/>
  <c r="A17" i="2" s="1"/>
  <c r="A7" i="2" a="1"/>
  <c r="A7" i="2" s="1"/>
  <c r="A80" i="2" a="1"/>
  <c r="A80" i="2" s="1"/>
  <c r="A396" i="2" a="1"/>
  <c r="A396" i="2" s="1"/>
  <c r="I396" i="2" s="1"/>
  <c r="A386" i="2" a="1"/>
  <c r="A386" i="2" s="1"/>
  <c r="I386" i="2" s="1"/>
  <c r="A376" i="2" a="1"/>
  <c r="A376" i="2" s="1"/>
  <c r="I376" i="2" s="1"/>
  <c r="A366" i="2" a="1"/>
  <c r="A366" i="2" s="1"/>
  <c r="I366" i="2" s="1"/>
  <c r="A356" i="2" a="1"/>
  <c r="A356" i="2" s="1"/>
  <c r="I356" i="2" s="1"/>
  <c r="A346" i="2" a="1"/>
  <c r="A346" i="2" s="1"/>
  <c r="I346" i="2" s="1"/>
  <c r="A336" i="2" a="1"/>
  <c r="A336" i="2" s="1"/>
  <c r="I336" i="2" s="1"/>
  <c r="A326" i="2" a="1"/>
  <c r="A326" i="2" s="1"/>
  <c r="I326" i="2" s="1"/>
  <c r="A316" i="2" a="1"/>
  <c r="A316" i="2" s="1"/>
  <c r="I316" i="2" s="1"/>
  <c r="A306" i="2" a="1"/>
  <c r="A306" i="2" s="1"/>
  <c r="I306" i="2" s="1"/>
  <c r="A296" i="2" a="1"/>
  <c r="A296" i="2" s="1"/>
  <c r="I296" i="2" s="1"/>
  <c r="A286" i="2" a="1"/>
  <c r="A286" i="2" s="1"/>
  <c r="I286" i="2" s="1"/>
  <c r="A276" i="2" a="1"/>
  <c r="A276" i="2" s="1"/>
  <c r="I276" i="2" s="1"/>
  <c r="A266" i="2" a="1"/>
  <c r="A266" i="2" s="1"/>
  <c r="I266" i="2" s="1"/>
  <c r="A256" i="2" a="1"/>
  <c r="A256" i="2" s="1"/>
  <c r="A246" i="2" a="1"/>
  <c r="A246" i="2" s="1"/>
  <c r="A236" i="2" a="1"/>
  <c r="A236" i="2" s="1"/>
  <c r="A226" i="2" a="1"/>
  <c r="A226" i="2" s="1"/>
  <c r="A216" i="2" a="1"/>
  <c r="A216" i="2" s="1"/>
  <c r="A206" i="2" a="1"/>
  <c r="A206" i="2" s="1"/>
  <c r="A196" i="2" a="1"/>
  <c r="A196" i="2" s="1"/>
  <c r="A186" i="2" a="1"/>
  <c r="A186" i="2" s="1"/>
  <c r="A176" i="2" a="1"/>
  <c r="A176" i="2" s="1"/>
  <c r="A166" i="2" a="1"/>
  <c r="A166" i="2" s="1"/>
  <c r="A156" i="2" a="1"/>
  <c r="A156" i="2" s="1"/>
  <c r="A146" i="2" a="1"/>
  <c r="A146" i="2" s="1"/>
  <c r="A136" i="2" a="1"/>
  <c r="A136" i="2" s="1"/>
  <c r="A126" i="2" a="1"/>
  <c r="A126" i="2" s="1"/>
  <c r="A116" i="2" a="1"/>
  <c r="A116" i="2" s="1"/>
  <c r="A106" i="2" a="1"/>
  <c r="A106" i="2" s="1"/>
  <c r="A96" i="2" a="1"/>
  <c r="A96" i="2" s="1"/>
  <c r="A86" i="2" a="1"/>
  <c r="A86" i="2" s="1"/>
  <c r="A76" i="2" a="1"/>
  <c r="A76" i="2" s="1"/>
  <c r="A66" i="2" a="1"/>
  <c r="A66" i="2" s="1"/>
  <c r="A56" i="2" a="1"/>
  <c r="A56" i="2" s="1"/>
  <c r="A46" i="2" a="1"/>
  <c r="A46" i="2" s="1"/>
  <c r="A36" i="2" a="1"/>
  <c r="A36" i="2" s="1"/>
  <c r="A26" i="2" a="1"/>
  <c r="A26" i="2" s="1"/>
  <c r="A16" i="2" a="1"/>
  <c r="A16" i="2" s="1"/>
  <c r="A6" i="2" a="1"/>
  <c r="A6" i="2" s="1"/>
  <c r="A110" i="2" a="1"/>
  <c r="A110" i="2" s="1"/>
  <c r="A170" i="2" a="1"/>
  <c r="A170" i="2" s="1"/>
  <c r="A150" i="2" a="1"/>
  <c r="A150" i="2" s="1"/>
  <c r="A140" i="2" a="1"/>
  <c r="A140" i="2" s="1"/>
  <c r="A120" i="2" a="1"/>
  <c r="A120" i="2" s="1"/>
  <c r="A90" i="2" a="1"/>
  <c r="A90" i="2" s="1"/>
  <c r="A395" i="2" a="1"/>
  <c r="A395" i="2" s="1"/>
  <c r="I395" i="2" s="1"/>
  <c r="A385" i="2" a="1"/>
  <c r="A385" i="2" s="1"/>
  <c r="I385" i="2" s="1"/>
  <c r="A375" i="2" a="1"/>
  <c r="A375" i="2" s="1"/>
  <c r="I375" i="2" s="1"/>
  <c r="A365" i="2" a="1"/>
  <c r="A365" i="2" s="1"/>
  <c r="I365" i="2" s="1"/>
  <c r="A355" i="2" a="1"/>
  <c r="A355" i="2" s="1"/>
  <c r="I355" i="2" s="1"/>
  <c r="A345" i="2" a="1"/>
  <c r="A345" i="2" s="1"/>
  <c r="I345" i="2" s="1"/>
  <c r="A335" i="2" a="1"/>
  <c r="A335" i="2" s="1"/>
  <c r="I335" i="2" s="1"/>
  <c r="A325" i="2" a="1"/>
  <c r="A325" i="2" s="1"/>
  <c r="I325" i="2" s="1"/>
  <c r="A315" i="2" a="1"/>
  <c r="A315" i="2" s="1"/>
  <c r="I315" i="2" s="1"/>
  <c r="A305" i="2" a="1"/>
  <c r="A305" i="2" s="1"/>
  <c r="I305" i="2" s="1"/>
  <c r="A295" i="2" a="1"/>
  <c r="A295" i="2" s="1"/>
  <c r="I295" i="2" s="1"/>
  <c r="A285" i="2" a="1"/>
  <c r="A285" i="2" s="1"/>
  <c r="I285" i="2" s="1"/>
  <c r="A275" i="2" a="1"/>
  <c r="A275" i="2" s="1"/>
  <c r="I275" i="2" s="1"/>
  <c r="A265" i="2" a="1"/>
  <c r="A265" i="2" s="1"/>
  <c r="I265" i="2" s="1"/>
  <c r="A255" i="2" a="1"/>
  <c r="A255" i="2" s="1"/>
  <c r="A245" i="2" a="1"/>
  <c r="A245" i="2" s="1"/>
  <c r="A235" i="2" a="1"/>
  <c r="A235" i="2" s="1"/>
  <c r="A225" i="2" a="1"/>
  <c r="A225" i="2" s="1"/>
  <c r="A215" i="2" a="1"/>
  <c r="A215" i="2" s="1"/>
  <c r="A205" i="2" a="1"/>
  <c r="A205" i="2" s="1"/>
  <c r="A195" i="2" a="1"/>
  <c r="A195" i="2" s="1"/>
  <c r="A185" i="2" a="1"/>
  <c r="A185" i="2" s="1"/>
  <c r="A175" i="2" a="1"/>
  <c r="A175" i="2" s="1"/>
  <c r="A165" i="2" a="1"/>
  <c r="A165" i="2" s="1"/>
  <c r="A155" i="2" a="1"/>
  <c r="A155" i="2" s="1"/>
  <c r="A145" i="2" a="1"/>
  <c r="A145" i="2" s="1"/>
  <c r="A135" i="2" a="1"/>
  <c r="A135" i="2" s="1"/>
  <c r="A125" i="2" a="1"/>
  <c r="A125" i="2" s="1"/>
  <c r="A115" i="2" a="1"/>
  <c r="A115" i="2" s="1"/>
  <c r="A105" i="2" a="1"/>
  <c r="A105" i="2" s="1"/>
  <c r="A95" i="2" a="1"/>
  <c r="A95" i="2" s="1"/>
  <c r="A85" i="2" a="1"/>
  <c r="A85" i="2" s="1"/>
  <c r="A75" i="2" a="1"/>
  <c r="A75" i="2" s="1"/>
  <c r="A65" i="2" a="1"/>
  <c r="A65" i="2" s="1"/>
  <c r="A55" i="2" a="1"/>
  <c r="A55" i="2" s="1"/>
  <c r="A45" i="2" a="1"/>
  <c r="A45" i="2" s="1"/>
  <c r="A35" i="2" a="1"/>
  <c r="A35" i="2" s="1"/>
  <c r="A25" i="2" a="1"/>
  <c r="A25" i="2" s="1"/>
  <c r="A15" i="2" a="1"/>
  <c r="A15" i="2" s="1"/>
  <c r="A5" i="2" a="1"/>
  <c r="A5" i="2" s="1"/>
  <c r="A100" i="2" a="1"/>
  <c r="A100" i="2" s="1"/>
  <c r="A394" i="2" a="1"/>
  <c r="A394" i="2" s="1"/>
  <c r="I394" i="2" s="1"/>
  <c r="A384" i="2" a="1"/>
  <c r="A384" i="2" s="1"/>
  <c r="I384" i="2" s="1"/>
  <c r="A374" i="2" a="1"/>
  <c r="A374" i="2" s="1"/>
  <c r="I374" i="2" s="1"/>
  <c r="A364" i="2" a="1"/>
  <c r="A364" i="2" s="1"/>
  <c r="I364" i="2" s="1"/>
  <c r="A354" i="2" a="1"/>
  <c r="A354" i="2" s="1"/>
  <c r="I354" i="2" s="1"/>
  <c r="A344" i="2" a="1"/>
  <c r="A344" i="2" s="1"/>
  <c r="I344" i="2" s="1"/>
  <c r="A334" i="2" a="1"/>
  <c r="A334" i="2" s="1"/>
  <c r="I334" i="2" s="1"/>
  <c r="A324" i="2" a="1"/>
  <c r="A324" i="2" s="1"/>
  <c r="I324" i="2" s="1"/>
  <c r="A314" i="2" a="1"/>
  <c r="A314" i="2" s="1"/>
  <c r="I314" i="2" s="1"/>
  <c r="A304" i="2" a="1"/>
  <c r="A304" i="2" s="1"/>
  <c r="I304" i="2" s="1"/>
  <c r="A294" i="2" a="1"/>
  <c r="A294" i="2" s="1"/>
  <c r="I294" i="2" s="1"/>
  <c r="A284" i="2" a="1"/>
  <c r="A284" i="2" s="1"/>
  <c r="I284" i="2" s="1"/>
  <c r="A274" i="2" a="1"/>
  <c r="A274" i="2" s="1"/>
  <c r="I274" i="2" s="1"/>
  <c r="A264" i="2" a="1"/>
  <c r="A264" i="2" s="1"/>
  <c r="I264" i="2" s="1"/>
  <c r="A254" i="2" a="1"/>
  <c r="A254" i="2" s="1"/>
  <c r="A244" i="2" a="1"/>
  <c r="A244" i="2" s="1"/>
  <c r="A234" i="2" a="1"/>
  <c r="A234" i="2" s="1"/>
  <c r="A224" i="2" a="1"/>
  <c r="A224" i="2" s="1"/>
  <c r="A214" i="2" a="1"/>
  <c r="A214" i="2" s="1"/>
  <c r="A204" i="2" a="1"/>
  <c r="A204" i="2" s="1"/>
  <c r="A194" i="2" a="1"/>
  <c r="A194" i="2" s="1"/>
  <c r="A184" i="2" a="1"/>
  <c r="A184" i="2" s="1"/>
  <c r="A174" i="2" a="1"/>
  <c r="A174" i="2" s="1"/>
  <c r="A164" i="2" a="1"/>
  <c r="A164" i="2" s="1"/>
  <c r="A154" i="2" a="1"/>
  <c r="A154" i="2" s="1"/>
  <c r="A144" i="2" a="1"/>
  <c r="A144" i="2" s="1"/>
  <c r="A134" i="2" a="1"/>
  <c r="A134" i="2" s="1"/>
  <c r="A124" i="2" a="1"/>
  <c r="A124" i="2" s="1"/>
  <c r="A114" i="2" a="1"/>
  <c r="A114" i="2" s="1"/>
  <c r="A104" i="2" a="1"/>
  <c r="A104" i="2" s="1"/>
  <c r="A94" i="2" a="1"/>
  <c r="A94" i="2" s="1"/>
  <c r="A84" i="2" a="1"/>
  <c r="A84" i="2" s="1"/>
  <c r="A74" i="2" a="1"/>
  <c r="A74" i="2" s="1"/>
  <c r="A64" i="2" a="1"/>
  <c r="A64" i="2" s="1"/>
  <c r="A54" i="2" a="1"/>
  <c r="A54" i="2" s="1"/>
  <c r="A44" i="2" a="1"/>
  <c r="A44" i="2" s="1"/>
  <c r="A34" i="2" a="1"/>
  <c r="A34" i="2" s="1"/>
  <c r="A24" i="2" a="1"/>
  <c r="A24" i="2" s="1"/>
  <c r="A14" i="2" a="1"/>
  <c r="A14" i="2" s="1"/>
  <c r="A4" i="2" a="1"/>
  <c r="A4" i="2" s="1"/>
  <c r="B4" i="5"/>
  <c r="F2" i="2" s="1"/>
  <c r="C340" i="2" l="1"/>
  <c r="J340" i="2" s="1"/>
  <c r="I112" i="2"/>
  <c r="I43" i="2"/>
  <c r="C45" i="2"/>
  <c r="J45" i="2" s="1"/>
  <c r="C330" i="2"/>
  <c r="J330" i="2" s="1"/>
  <c r="C332" i="2"/>
  <c r="J332" i="2" s="1"/>
  <c r="C110" i="2"/>
  <c r="J110" i="2" s="1"/>
  <c r="C334" i="2"/>
  <c r="J334" i="2" s="1"/>
  <c r="C34" i="2"/>
  <c r="J34" i="2" s="1"/>
  <c r="C25" i="2"/>
  <c r="J25" i="2" s="1"/>
  <c r="C140" i="2"/>
  <c r="J140" i="2" s="1"/>
  <c r="C366" i="2"/>
  <c r="J366" i="2" s="1"/>
  <c r="C357" i="2"/>
  <c r="J357" i="2" s="1"/>
  <c r="C318" i="2"/>
  <c r="J318" i="2" s="1"/>
  <c r="C319" i="2"/>
  <c r="J319" i="2" s="1"/>
  <c r="C360" i="2"/>
  <c r="J360" i="2" s="1"/>
  <c r="C261" i="2"/>
  <c r="J261" i="2" s="1"/>
  <c r="C263" i="2"/>
  <c r="J263" i="2" s="1"/>
  <c r="C333" i="2"/>
  <c r="J333" i="2" s="1"/>
  <c r="C252" i="2"/>
  <c r="J252" i="2" s="1"/>
  <c r="C251" i="2"/>
  <c r="J251" i="2" s="1"/>
  <c r="C172" i="2"/>
  <c r="J172" i="2" s="1"/>
  <c r="C72" i="2"/>
  <c r="J72" i="2" s="1"/>
  <c r="C325" i="2"/>
  <c r="J325" i="2" s="1"/>
  <c r="C234" i="2"/>
  <c r="J234" i="2" s="1"/>
  <c r="C225" i="2"/>
  <c r="J225" i="2" s="1"/>
  <c r="C166" i="2"/>
  <c r="J166" i="2" s="1"/>
  <c r="C157" i="2"/>
  <c r="J157" i="2" s="1"/>
  <c r="C118" i="2"/>
  <c r="J118" i="2" s="1"/>
  <c r="C119" i="2"/>
  <c r="J119" i="2" s="1"/>
  <c r="C44" i="2"/>
  <c r="J44" i="2" s="1"/>
  <c r="C244" i="2"/>
  <c r="J244" i="2" s="1"/>
  <c r="C35" i="2"/>
  <c r="J35" i="2" s="1"/>
  <c r="C235" i="2"/>
  <c r="J235" i="2" s="1"/>
  <c r="C150" i="2"/>
  <c r="J150" i="2" s="1"/>
  <c r="C176" i="2"/>
  <c r="J176" i="2" s="1"/>
  <c r="C376" i="2"/>
  <c r="J376" i="2" s="1"/>
  <c r="C167" i="2"/>
  <c r="J167" i="2" s="1"/>
  <c r="C367" i="2"/>
  <c r="J367" i="2" s="1"/>
  <c r="C128" i="2"/>
  <c r="J128" i="2" s="1"/>
  <c r="C328" i="2"/>
  <c r="J328" i="2" s="1"/>
  <c r="C129" i="2"/>
  <c r="J129" i="2" s="1"/>
  <c r="C329" i="2"/>
  <c r="J329" i="2" s="1"/>
  <c r="C51" i="2"/>
  <c r="J51" i="2" s="1"/>
  <c r="C30" i="2"/>
  <c r="J30" i="2" s="1"/>
  <c r="C282" i="2"/>
  <c r="J282" i="2" s="1"/>
  <c r="C342" i="2"/>
  <c r="J342" i="2" s="1"/>
  <c r="C343" i="2"/>
  <c r="J343" i="2" s="1"/>
  <c r="C181" i="2"/>
  <c r="J181" i="2" s="1"/>
  <c r="C310" i="2"/>
  <c r="J310" i="2" s="1"/>
  <c r="C170" i="2"/>
  <c r="J170" i="2" s="1"/>
  <c r="C349" i="2"/>
  <c r="J349" i="2" s="1"/>
  <c r="C153" i="2"/>
  <c r="J153" i="2" s="1"/>
  <c r="C74" i="2"/>
  <c r="J74" i="2" s="1"/>
  <c r="C274" i="2"/>
  <c r="J274" i="2" s="1"/>
  <c r="C65" i="2"/>
  <c r="J65" i="2" s="1"/>
  <c r="C265" i="2"/>
  <c r="J265" i="2" s="1"/>
  <c r="C6" i="2"/>
  <c r="J6" i="2" s="1"/>
  <c r="C206" i="2"/>
  <c r="J206" i="2" s="1"/>
  <c r="C80" i="2"/>
  <c r="J80" i="2" s="1"/>
  <c r="C197" i="2"/>
  <c r="J197" i="2" s="1"/>
  <c r="C397" i="2"/>
  <c r="J397" i="2" s="1"/>
  <c r="C158" i="2"/>
  <c r="J158" i="2" s="1"/>
  <c r="C358" i="2"/>
  <c r="J358" i="2" s="1"/>
  <c r="C159" i="2"/>
  <c r="J159" i="2" s="1"/>
  <c r="C359" i="2"/>
  <c r="J359" i="2" s="1"/>
  <c r="C182" i="2"/>
  <c r="J182" i="2" s="1"/>
  <c r="C13" i="2"/>
  <c r="J13" i="2" s="1"/>
  <c r="C402" i="2"/>
  <c r="J402" i="2" s="1"/>
  <c r="C200" i="2"/>
  <c r="J200" i="2" s="1"/>
  <c r="C122" i="2"/>
  <c r="J122" i="2" s="1"/>
  <c r="C33" i="2"/>
  <c r="J33" i="2" s="1"/>
  <c r="C63" i="2"/>
  <c r="J63" i="2" s="1"/>
  <c r="C380" i="2"/>
  <c r="J380" i="2" s="1"/>
  <c r="C138" i="2"/>
  <c r="J138" i="2" s="1"/>
  <c r="C7" i="2"/>
  <c r="J7" i="2" s="1"/>
  <c r="C369" i="2"/>
  <c r="J369" i="2" s="1"/>
  <c r="C22" i="2"/>
  <c r="J22" i="2" s="1"/>
  <c r="C382" i="2"/>
  <c r="J382" i="2" s="1"/>
  <c r="C131" i="2"/>
  <c r="J131" i="2" s="1"/>
  <c r="C40" i="2"/>
  <c r="J40" i="2" s="1"/>
  <c r="C173" i="2"/>
  <c r="J173" i="2" s="1"/>
  <c r="C16" i="2"/>
  <c r="J16" i="2" s="1"/>
  <c r="C368" i="2"/>
  <c r="J368" i="2" s="1"/>
  <c r="C85" i="2"/>
  <c r="J85" i="2" s="1"/>
  <c r="C217" i="2"/>
  <c r="J217" i="2" s="1"/>
  <c r="C339" i="2"/>
  <c r="J339" i="2" s="1"/>
  <c r="C348" i="2"/>
  <c r="J348" i="2" s="1"/>
  <c r="C207" i="2"/>
  <c r="J207" i="2" s="1"/>
  <c r="C232" i="2"/>
  <c r="J232" i="2" s="1"/>
  <c r="C94" i="2"/>
  <c r="J94" i="2" s="1"/>
  <c r="C226" i="2"/>
  <c r="J226" i="2" s="1"/>
  <c r="C178" i="2"/>
  <c r="J178" i="2" s="1"/>
  <c r="C379" i="2"/>
  <c r="J379" i="2" s="1"/>
  <c r="C113" i="2"/>
  <c r="J113" i="2" s="1"/>
  <c r="C241" i="2"/>
  <c r="J241" i="2" s="1"/>
  <c r="C71" i="2"/>
  <c r="J71" i="2" s="1"/>
  <c r="C304" i="2"/>
  <c r="J304" i="2" s="1"/>
  <c r="C236" i="2"/>
  <c r="J236" i="2" s="1"/>
  <c r="C160" i="2"/>
  <c r="J160" i="2" s="1"/>
  <c r="C262" i="2"/>
  <c r="J262" i="2" s="1"/>
  <c r="C303" i="2"/>
  <c r="J303" i="2" s="1"/>
  <c r="C311" i="2"/>
  <c r="J311" i="2" s="1"/>
  <c r="C121" i="2"/>
  <c r="J121" i="2" s="1"/>
  <c r="C320" i="2"/>
  <c r="J320" i="2" s="1"/>
  <c r="C321" i="2"/>
  <c r="J321" i="2" s="1"/>
  <c r="C163" i="2"/>
  <c r="J163" i="2" s="1"/>
  <c r="C351" i="2"/>
  <c r="J351" i="2" s="1"/>
  <c r="C111" i="2"/>
  <c r="J111" i="2" s="1"/>
  <c r="C64" i="2"/>
  <c r="J64" i="2" s="1"/>
  <c r="C216" i="2"/>
  <c r="J216" i="2" s="1"/>
  <c r="C169" i="2"/>
  <c r="J169" i="2" s="1"/>
  <c r="C221" i="2"/>
  <c r="J221" i="2" s="1"/>
  <c r="C294" i="2"/>
  <c r="J294" i="2" s="1"/>
  <c r="C26" i="2"/>
  <c r="J26" i="2" s="1"/>
  <c r="C130" i="2"/>
  <c r="J130" i="2" s="1"/>
  <c r="C179" i="2"/>
  <c r="J179" i="2" s="1"/>
  <c r="C291" i="2"/>
  <c r="J291" i="2" s="1"/>
  <c r="C60" i="2"/>
  <c r="J60" i="2" s="1"/>
  <c r="C42" i="2"/>
  <c r="J42" i="2" s="1"/>
  <c r="C104" i="2"/>
  <c r="J104" i="2" s="1"/>
  <c r="C36" i="2"/>
  <c r="J36" i="2" s="1"/>
  <c r="C188" i="2"/>
  <c r="J188" i="2" s="1"/>
  <c r="C389" i="2"/>
  <c r="J389" i="2" s="1"/>
  <c r="C114" i="2"/>
  <c r="J114" i="2" s="1"/>
  <c r="C105" i="2"/>
  <c r="J105" i="2" s="1"/>
  <c r="C246" i="2"/>
  <c r="J246" i="2" s="1"/>
  <c r="C237" i="2"/>
  <c r="J237" i="2" s="1"/>
  <c r="C398" i="2"/>
  <c r="J398" i="2" s="1"/>
  <c r="C381" i="2"/>
  <c r="J381" i="2" s="1"/>
  <c r="C281" i="2"/>
  <c r="J281" i="2" s="1"/>
  <c r="C273" i="2"/>
  <c r="J273" i="2" s="1"/>
  <c r="C255" i="2"/>
  <c r="J255" i="2" s="1"/>
  <c r="C387" i="2"/>
  <c r="J387" i="2" s="1"/>
  <c r="C149" i="2"/>
  <c r="J149" i="2" s="1"/>
  <c r="C133" i="2"/>
  <c r="J133" i="2" s="1"/>
  <c r="C275" i="2"/>
  <c r="J275" i="2" s="1"/>
  <c r="C168" i="2"/>
  <c r="J168" i="2" s="1"/>
  <c r="C93" i="2"/>
  <c r="J93" i="2" s="1"/>
  <c r="C285" i="2"/>
  <c r="J285" i="2" s="1"/>
  <c r="C17" i="2"/>
  <c r="J17" i="2" s="1"/>
  <c r="C378" i="2"/>
  <c r="J378" i="2" s="1"/>
  <c r="C191" i="2"/>
  <c r="J191" i="2" s="1"/>
  <c r="C271" i="2"/>
  <c r="J271" i="2" s="1"/>
  <c r="C242" i="2"/>
  <c r="J242" i="2" s="1"/>
  <c r="C95" i="2"/>
  <c r="J95" i="2" s="1"/>
  <c r="C295" i="2"/>
  <c r="J295" i="2" s="1"/>
  <c r="C27" i="2"/>
  <c r="J27" i="2" s="1"/>
  <c r="C227" i="2"/>
  <c r="J227" i="2" s="1"/>
  <c r="C388" i="2"/>
  <c r="J388" i="2" s="1"/>
  <c r="C189" i="2"/>
  <c r="J189" i="2" s="1"/>
  <c r="C361" i="2"/>
  <c r="J361" i="2" s="1"/>
  <c r="C102" i="2"/>
  <c r="J102" i="2" s="1"/>
  <c r="C314" i="2"/>
  <c r="J314" i="2" s="1"/>
  <c r="C305" i="2"/>
  <c r="J305" i="2" s="1"/>
  <c r="C46" i="2"/>
  <c r="J46" i="2" s="1"/>
  <c r="C37" i="2"/>
  <c r="J37" i="2" s="1"/>
  <c r="C180" i="2"/>
  <c r="J180" i="2" s="1"/>
  <c r="C198" i="2"/>
  <c r="J198" i="2" s="1"/>
  <c r="C199" i="2"/>
  <c r="J199" i="2" s="1"/>
  <c r="C399" i="2"/>
  <c r="J399" i="2" s="1"/>
  <c r="C392" i="2"/>
  <c r="J392" i="2" s="1"/>
  <c r="C293" i="2"/>
  <c r="J293" i="2" s="1"/>
  <c r="C151" i="2"/>
  <c r="J151" i="2" s="1"/>
  <c r="C372" i="2"/>
  <c r="J372" i="2" s="1"/>
  <c r="C213" i="2"/>
  <c r="J213" i="2" s="1"/>
  <c r="C391" i="2"/>
  <c r="J391" i="2" s="1"/>
  <c r="C124" i="2"/>
  <c r="J124" i="2" s="1"/>
  <c r="C324" i="2"/>
  <c r="J324" i="2" s="1"/>
  <c r="C115" i="2"/>
  <c r="J115" i="2" s="1"/>
  <c r="C315" i="2"/>
  <c r="J315" i="2" s="1"/>
  <c r="C56" i="2"/>
  <c r="J56" i="2" s="1"/>
  <c r="C256" i="2"/>
  <c r="J256" i="2" s="1"/>
  <c r="C47" i="2"/>
  <c r="J47" i="2" s="1"/>
  <c r="C247" i="2"/>
  <c r="J247" i="2" s="1"/>
  <c r="C8" i="2"/>
  <c r="J8" i="2" s="1"/>
  <c r="C208" i="2"/>
  <c r="J208" i="2" s="1"/>
  <c r="C9" i="2"/>
  <c r="J9" i="2" s="1"/>
  <c r="C209" i="2"/>
  <c r="J209" i="2" s="1"/>
  <c r="C10" i="2"/>
  <c r="J10" i="2" s="1"/>
  <c r="C12" i="2"/>
  <c r="J12" i="2" s="1"/>
  <c r="C331" i="2"/>
  <c r="J331" i="2" s="1"/>
  <c r="C231" i="2"/>
  <c r="J231" i="2" s="1"/>
  <c r="C31" i="2"/>
  <c r="J31" i="2" s="1"/>
  <c r="C341" i="2"/>
  <c r="J341" i="2" s="1"/>
  <c r="C81" i="2"/>
  <c r="J81" i="2" s="1"/>
  <c r="C386" i="2"/>
  <c r="J386" i="2" s="1"/>
  <c r="C148" i="2"/>
  <c r="J148" i="2" s="1"/>
  <c r="C66" i="2"/>
  <c r="J66" i="2" s="1"/>
  <c r="C62" i="2"/>
  <c r="J62" i="2" s="1"/>
  <c r="C245" i="2"/>
  <c r="J245" i="2" s="1"/>
  <c r="C91" i="2"/>
  <c r="J91" i="2" s="1"/>
  <c r="C125" i="2"/>
  <c r="J125" i="2" s="1"/>
  <c r="C20" i="2"/>
  <c r="J20" i="2" s="1"/>
  <c r="C363" i="2"/>
  <c r="J363" i="2" s="1"/>
  <c r="C76" i="2"/>
  <c r="J76" i="2" s="1"/>
  <c r="C177" i="2"/>
  <c r="J177" i="2" s="1"/>
  <c r="C196" i="2"/>
  <c r="J196" i="2" s="1"/>
  <c r="C75" i="2"/>
  <c r="J75" i="2" s="1"/>
  <c r="C18" i="2"/>
  <c r="J18" i="2" s="1"/>
  <c r="C92" i="2"/>
  <c r="J92" i="2" s="1"/>
  <c r="C276" i="2"/>
  <c r="J276" i="2" s="1"/>
  <c r="C29" i="2"/>
  <c r="J29" i="2" s="1"/>
  <c r="C141" i="2"/>
  <c r="J141" i="2" s="1"/>
  <c r="C272" i="2"/>
  <c r="J272" i="2" s="1"/>
  <c r="C154" i="2"/>
  <c r="J154" i="2" s="1"/>
  <c r="C354" i="2"/>
  <c r="J354" i="2" s="1"/>
  <c r="C145" i="2"/>
  <c r="J145" i="2" s="1"/>
  <c r="C345" i="2"/>
  <c r="J345" i="2" s="1"/>
  <c r="C86" i="2"/>
  <c r="J86" i="2" s="1"/>
  <c r="C286" i="2"/>
  <c r="J286" i="2" s="1"/>
  <c r="C77" i="2"/>
  <c r="J77" i="2" s="1"/>
  <c r="C277" i="2"/>
  <c r="J277" i="2" s="1"/>
  <c r="C38" i="2"/>
  <c r="J38" i="2" s="1"/>
  <c r="C238" i="2"/>
  <c r="J238" i="2" s="1"/>
  <c r="C39" i="2"/>
  <c r="J39" i="2" s="1"/>
  <c r="C239" i="2"/>
  <c r="J239" i="2" s="1"/>
  <c r="C11" i="2"/>
  <c r="J11" i="2" s="1"/>
  <c r="C183" i="2"/>
  <c r="J183" i="2" s="1"/>
  <c r="C21" i="2"/>
  <c r="J21" i="2" s="1"/>
  <c r="C403" i="2"/>
  <c r="J403" i="2" s="1"/>
  <c r="C201" i="2"/>
  <c r="J201" i="2" s="1"/>
  <c r="C353" i="2"/>
  <c r="J353" i="2" s="1"/>
  <c r="C390" i="2"/>
  <c r="J390" i="2" s="1"/>
  <c r="C73" i="2"/>
  <c r="J73" i="2" s="1"/>
  <c r="C186" i="2"/>
  <c r="J186" i="2" s="1"/>
  <c r="C396" i="2"/>
  <c r="J396" i="2" s="1"/>
  <c r="C70" i="2"/>
  <c r="J70" i="2" s="1"/>
  <c r="C400" i="2"/>
  <c r="J400" i="2" s="1"/>
  <c r="C240" i="2"/>
  <c r="J240" i="2" s="1"/>
  <c r="C287" i="2"/>
  <c r="J287" i="2" s="1"/>
  <c r="C53" i="2"/>
  <c r="J53" i="2" s="1"/>
  <c r="C23" i="2"/>
  <c r="J23" i="2" s="1"/>
  <c r="C203" i="2"/>
  <c r="J203" i="2" s="1"/>
  <c r="C202" i="2"/>
  <c r="J202" i="2" s="1"/>
  <c r="C377" i="2"/>
  <c r="J377" i="2" s="1"/>
  <c r="C187" i="2"/>
  <c r="J187" i="2" s="1"/>
  <c r="C393" i="2"/>
  <c r="J393" i="2" s="1"/>
  <c r="C266" i="2"/>
  <c r="J266" i="2" s="1"/>
  <c r="C228" i="2"/>
  <c r="J228" i="2" s="1"/>
  <c r="C161" i="2"/>
  <c r="J161" i="2" s="1"/>
  <c r="C355" i="2"/>
  <c r="J355" i="2" s="1"/>
  <c r="C97" i="2"/>
  <c r="J97" i="2" s="1"/>
  <c r="C41" i="2"/>
  <c r="J41" i="2" s="1"/>
  <c r="C280" i="2"/>
  <c r="J280" i="2" s="1"/>
  <c r="C19" i="2"/>
  <c r="J19" i="2" s="1"/>
  <c r="C344" i="2"/>
  <c r="J344" i="2" s="1"/>
  <c r="C229" i="2"/>
  <c r="J229" i="2" s="1"/>
  <c r="C164" i="2"/>
  <c r="J164" i="2" s="1"/>
  <c r="C48" i="2"/>
  <c r="J48" i="2" s="1"/>
  <c r="C365" i="2"/>
  <c r="J365" i="2" s="1"/>
  <c r="C59" i="2"/>
  <c r="J59" i="2" s="1"/>
  <c r="C323" i="2"/>
  <c r="J323" i="2" s="1"/>
  <c r="C116" i="2"/>
  <c r="J116" i="2" s="1"/>
  <c r="C338" i="2"/>
  <c r="J338" i="2" s="1"/>
  <c r="C55" i="2"/>
  <c r="J55" i="2" s="1"/>
  <c r="C219" i="2"/>
  <c r="J219" i="2" s="1"/>
  <c r="C301" i="2"/>
  <c r="J301" i="2" s="1"/>
  <c r="C267" i="2"/>
  <c r="J267" i="2" s="1"/>
  <c r="C155" i="2"/>
  <c r="J155" i="2" s="1"/>
  <c r="C49" i="2"/>
  <c r="J49" i="2" s="1"/>
  <c r="C374" i="2"/>
  <c r="J374" i="2" s="1"/>
  <c r="C258" i="2"/>
  <c r="J258" i="2" s="1"/>
  <c r="C61" i="2"/>
  <c r="J61" i="2" s="1"/>
  <c r="C175" i="2"/>
  <c r="J175" i="2" s="1"/>
  <c r="C132" i="2"/>
  <c r="J132" i="2" s="1"/>
  <c r="C139" i="2"/>
  <c r="J139" i="2" s="1"/>
  <c r="C57" i="2"/>
  <c r="J57" i="2" s="1"/>
  <c r="C135" i="2"/>
  <c r="J135" i="2" s="1"/>
  <c r="C371" i="2"/>
  <c r="J371" i="2" s="1"/>
  <c r="C96" i="2"/>
  <c r="J96" i="2" s="1"/>
  <c r="C249" i="2"/>
  <c r="J249" i="2" s="1"/>
  <c r="C165" i="2"/>
  <c r="J165" i="2" s="1"/>
  <c r="C297" i="2"/>
  <c r="J297" i="2" s="1"/>
  <c r="C83" i="2"/>
  <c r="J83" i="2" s="1"/>
  <c r="C210" i="2"/>
  <c r="J210" i="2" s="1"/>
  <c r="C384" i="2"/>
  <c r="J384" i="2" s="1"/>
  <c r="C107" i="2"/>
  <c r="J107" i="2" s="1"/>
  <c r="C268" i="2"/>
  <c r="J268" i="2" s="1"/>
  <c r="C362" i="2"/>
  <c r="J362" i="2" s="1"/>
  <c r="C223" i="2"/>
  <c r="J223" i="2" s="1"/>
  <c r="C162" i="2"/>
  <c r="J162" i="2" s="1"/>
  <c r="C394" i="2"/>
  <c r="J394" i="2" s="1"/>
  <c r="C126" i="2"/>
  <c r="J126" i="2" s="1"/>
  <c r="C78" i="2"/>
  <c r="J78" i="2" s="1"/>
  <c r="C123" i="2"/>
  <c r="J123" i="2" s="1"/>
  <c r="C243" i="2"/>
  <c r="J243" i="2" s="1"/>
  <c r="C4" i="2"/>
  <c r="J4" i="2" s="1"/>
  <c r="C100" i="2"/>
  <c r="J100" i="2" s="1"/>
  <c r="C395" i="2"/>
  <c r="J395" i="2" s="1"/>
  <c r="C127" i="2"/>
  <c r="J127" i="2" s="1"/>
  <c r="C327" i="2"/>
  <c r="J327" i="2" s="1"/>
  <c r="C288" i="2"/>
  <c r="J288" i="2" s="1"/>
  <c r="C89" i="2"/>
  <c r="J89" i="2" s="1"/>
  <c r="C289" i="2"/>
  <c r="J289" i="2" s="1"/>
  <c r="C253" i="2"/>
  <c r="J253" i="2" s="1"/>
  <c r="C142" i="2"/>
  <c r="J142" i="2" s="1"/>
  <c r="C101" i="2"/>
  <c r="J101" i="2" s="1"/>
  <c r="C193" i="2"/>
  <c r="J193" i="2" s="1"/>
  <c r="C233" i="2"/>
  <c r="J233" i="2" s="1"/>
  <c r="C112" i="2"/>
  <c r="J112" i="2" s="1"/>
  <c r="C254" i="2"/>
  <c r="J254" i="2" s="1"/>
  <c r="C264" i="2"/>
  <c r="J264" i="2" s="1"/>
  <c r="C284" i="2"/>
  <c r="J284" i="2" s="1"/>
  <c r="C134" i="2"/>
  <c r="J134" i="2" s="1"/>
  <c r="C218" i="2"/>
  <c r="J218" i="2" s="1"/>
  <c r="C335" i="2"/>
  <c r="J335" i="2" s="1"/>
  <c r="C28" i="2"/>
  <c r="J28" i="2" s="1"/>
  <c r="C364" i="2"/>
  <c r="J364" i="2" s="1"/>
  <c r="C296" i="2"/>
  <c r="J296" i="2" s="1"/>
  <c r="C248" i="2"/>
  <c r="J248" i="2" s="1"/>
  <c r="C50" i="2"/>
  <c r="J50" i="2" s="1"/>
  <c r="C174" i="2"/>
  <c r="J174" i="2" s="1"/>
  <c r="C106" i="2"/>
  <c r="J106" i="2" s="1"/>
  <c r="C58" i="2"/>
  <c r="J58" i="2" s="1"/>
  <c r="C143" i="2"/>
  <c r="J143" i="2" s="1"/>
  <c r="C184" i="2"/>
  <c r="J184" i="2" s="1"/>
  <c r="C375" i="2"/>
  <c r="J375" i="2" s="1"/>
  <c r="C307" i="2"/>
  <c r="J307" i="2" s="1"/>
  <c r="C68" i="2"/>
  <c r="J68" i="2" s="1"/>
  <c r="C269" i="2"/>
  <c r="J269" i="2" s="1"/>
  <c r="C185" i="2"/>
  <c r="J185" i="2" s="1"/>
  <c r="C385" i="2"/>
  <c r="J385" i="2" s="1"/>
  <c r="C117" i="2"/>
  <c r="J117" i="2" s="1"/>
  <c r="C317" i="2"/>
  <c r="J317" i="2" s="1"/>
  <c r="C278" i="2"/>
  <c r="J278" i="2" s="1"/>
  <c r="C279" i="2"/>
  <c r="J279" i="2" s="1"/>
  <c r="C52" i="2"/>
  <c r="J52" i="2" s="1"/>
  <c r="C401" i="2"/>
  <c r="J401" i="2" s="1"/>
  <c r="C82" i="2"/>
  <c r="J82" i="2" s="1"/>
  <c r="C204" i="2"/>
  <c r="J204" i="2" s="1"/>
  <c r="C195" i="2"/>
  <c r="J195" i="2" s="1"/>
  <c r="C136" i="2"/>
  <c r="J136" i="2" s="1"/>
  <c r="C336" i="2"/>
  <c r="J336" i="2" s="1"/>
  <c r="C88" i="2"/>
  <c r="J88" i="2" s="1"/>
  <c r="C14" i="2"/>
  <c r="J14" i="2" s="1"/>
  <c r="C214" i="2"/>
  <c r="J214" i="2" s="1"/>
  <c r="C5" i="2"/>
  <c r="J5" i="2" s="1"/>
  <c r="C205" i="2"/>
  <c r="J205" i="2" s="1"/>
  <c r="C90" i="2"/>
  <c r="J90" i="2" s="1"/>
  <c r="C146" i="2"/>
  <c r="J146" i="2" s="1"/>
  <c r="C346" i="2"/>
  <c r="J346" i="2" s="1"/>
  <c r="C137" i="2"/>
  <c r="J137" i="2" s="1"/>
  <c r="C337" i="2"/>
  <c r="J337" i="2" s="1"/>
  <c r="C98" i="2"/>
  <c r="J98" i="2" s="1"/>
  <c r="C298" i="2"/>
  <c r="J298" i="2" s="1"/>
  <c r="C99" i="2"/>
  <c r="J99" i="2" s="1"/>
  <c r="C299" i="2"/>
  <c r="J299" i="2" s="1"/>
  <c r="C290" i="2"/>
  <c r="J290" i="2" s="1"/>
  <c r="C190" i="2"/>
  <c r="J190" i="2" s="1"/>
  <c r="C192" i="2"/>
  <c r="J192" i="2" s="1"/>
  <c r="C270" i="2"/>
  <c r="J270" i="2" s="1"/>
  <c r="C43" i="2"/>
  <c r="J43" i="2" s="1"/>
  <c r="C211" i="2"/>
  <c r="J211" i="2" s="1"/>
  <c r="C212" i="2"/>
  <c r="J212" i="2" s="1"/>
  <c r="C54" i="2"/>
  <c r="J54" i="2" s="1"/>
  <c r="C370" i="2"/>
  <c r="J370" i="2" s="1"/>
  <c r="C84" i="2"/>
  <c r="J84" i="2" s="1"/>
  <c r="C257" i="2"/>
  <c r="J257" i="2" s="1"/>
  <c r="C144" i="2"/>
  <c r="J144" i="2" s="1"/>
  <c r="C67" i="2"/>
  <c r="J67" i="2" s="1"/>
  <c r="C87" i="2"/>
  <c r="J87" i="2" s="1"/>
  <c r="C306" i="2"/>
  <c r="J306" i="2" s="1"/>
  <c r="C259" i="2"/>
  <c r="J259" i="2" s="1"/>
  <c r="C373" i="2"/>
  <c r="J373" i="2" s="1"/>
  <c r="C316" i="2"/>
  <c r="J316" i="2" s="1"/>
  <c r="C69" i="2"/>
  <c r="J69" i="2" s="1"/>
  <c r="C103" i="2"/>
  <c r="J103" i="2" s="1"/>
  <c r="C32" i="2"/>
  <c r="J32" i="2" s="1"/>
  <c r="C194" i="2"/>
  <c r="J194" i="2" s="1"/>
  <c r="C326" i="2"/>
  <c r="J326" i="2" s="1"/>
  <c r="C79" i="2"/>
  <c r="J79" i="2" s="1"/>
  <c r="C220" i="2"/>
  <c r="J220" i="2" s="1"/>
  <c r="C24" i="2"/>
  <c r="J24" i="2" s="1"/>
  <c r="C224" i="2"/>
  <c r="J224" i="2" s="1"/>
  <c r="C15" i="2"/>
  <c r="J15" i="2" s="1"/>
  <c r="C215" i="2"/>
  <c r="J215" i="2" s="1"/>
  <c r="C120" i="2"/>
  <c r="J120" i="2" s="1"/>
  <c r="C156" i="2"/>
  <c r="J156" i="2" s="1"/>
  <c r="C356" i="2"/>
  <c r="J356" i="2" s="1"/>
  <c r="C147" i="2"/>
  <c r="J147" i="2" s="1"/>
  <c r="C347" i="2"/>
  <c r="J347" i="2" s="1"/>
  <c r="C108" i="2"/>
  <c r="J108" i="2" s="1"/>
  <c r="C308" i="2"/>
  <c r="J308" i="2" s="1"/>
  <c r="C109" i="2"/>
  <c r="J109" i="2" s="1"/>
  <c r="C309" i="2"/>
  <c r="J309" i="2" s="1"/>
  <c r="C222" i="2"/>
  <c r="J222" i="2" s="1"/>
  <c r="C230" i="2"/>
  <c r="J230" i="2" s="1"/>
  <c r="C302" i="2"/>
  <c r="J302" i="2" s="1"/>
  <c r="C383" i="2"/>
  <c r="J383" i="2" s="1"/>
  <c r="C171" i="2"/>
  <c r="J171" i="2" s="1"/>
  <c r="C283" i="2"/>
  <c r="J283" i="2" s="1"/>
  <c r="B233" i="2"/>
  <c r="D233" i="2" s="1"/>
  <c r="H233" i="2" s="1"/>
  <c r="B81" i="2"/>
  <c r="D81" i="2" s="1"/>
  <c r="H81" i="2" s="1"/>
  <c r="B62" i="2"/>
  <c r="D62" i="2" s="1"/>
  <c r="H62" i="2" s="1"/>
  <c r="B321" i="2"/>
  <c r="D321" i="2" s="1"/>
  <c r="H321" i="2" s="1"/>
  <c r="B341" i="2"/>
  <c r="D341" i="2" s="1"/>
  <c r="H341" i="2" s="1"/>
  <c r="B301" i="2"/>
  <c r="D301" i="2" s="1"/>
  <c r="H301" i="2" s="1"/>
  <c r="B280" i="2"/>
  <c r="D280" i="2" s="1"/>
  <c r="H280" i="2" s="1"/>
  <c r="B243" i="2"/>
  <c r="D243" i="2" s="1"/>
  <c r="H243" i="2" s="1"/>
  <c r="B201" i="2"/>
  <c r="D201" i="2" s="1"/>
  <c r="H201" i="2" s="1"/>
  <c r="B212" i="2"/>
  <c r="D212" i="2" s="1"/>
  <c r="H212" i="2" s="1"/>
  <c r="B71" i="2"/>
  <c r="D71" i="2" s="1"/>
  <c r="H71" i="2" s="1"/>
  <c r="B113" i="2"/>
  <c r="D113" i="2" s="1"/>
  <c r="H113" i="2" s="1"/>
  <c r="B241" i="2"/>
  <c r="D241" i="2" s="1"/>
  <c r="H241" i="2" s="1"/>
  <c r="B82" i="2"/>
  <c r="D82" i="2" s="1"/>
  <c r="H82" i="2" s="1"/>
  <c r="B73" i="2"/>
  <c r="D73" i="2" s="1"/>
  <c r="H73" i="2" s="1"/>
  <c r="B240" i="2"/>
  <c r="D240" i="2" s="1"/>
  <c r="H240" i="2" s="1"/>
  <c r="B381" i="2"/>
  <c r="D381" i="2" s="1"/>
  <c r="H381" i="2" s="1"/>
  <c r="B390" i="2"/>
  <c r="D390" i="2" s="1"/>
  <c r="H390" i="2" s="1"/>
  <c r="B391" i="2"/>
  <c r="D391" i="2" s="1"/>
  <c r="H391" i="2" s="1"/>
  <c r="B242" i="2"/>
  <c r="D242" i="2" s="1"/>
  <c r="H242" i="2" s="1"/>
  <c r="B21" i="2"/>
  <c r="D21" i="2" s="1"/>
  <c r="H21" i="2" s="1"/>
  <c r="B363" i="2"/>
  <c r="D363" i="2" s="1"/>
  <c r="H363" i="2" s="1"/>
  <c r="B403" i="2"/>
  <c r="D403" i="2" s="1"/>
  <c r="H403" i="2" s="1"/>
  <c r="B181" i="2"/>
  <c r="D181" i="2" s="1"/>
  <c r="H181" i="2" s="1"/>
  <c r="B162" i="2"/>
  <c r="D162" i="2" s="1"/>
  <c r="H162" i="2" s="1"/>
  <c r="B320" i="2"/>
  <c r="D320" i="2" s="1"/>
  <c r="H320" i="2" s="1"/>
  <c r="B282" i="2"/>
  <c r="D282" i="2" s="1"/>
  <c r="H282" i="2" s="1"/>
  <c r="B51" i="2"/>
  <c r="D51" i="2" s="1"/>
  <c r="H51" i="2" s="1"/>
  <c r="B72" i="2"/>
  <c r="D72" i="2" s="1"/>
  <c r="H72" i="2" s="1"/>
  <c r="B382" i="2"/>
  <c r="D382" i="2" s="1"/>
  <c r="H382" i="2" s="1"/>
  <c r="B123" i="2"/>
  <c r="D123" i="2" s="1"/>
  <c r="H123" i="2" s="1"/>
  <c r="B202" i="2"/>
  <c r="D202" i="2" s="1"/>
  <c r="H202" i="2" s="1"/>
  <c r="B310" i="2"/>
  <c r="D310" i="2" s="1"/>
  <c r="H310" i="2" s="1"/>
  <c r="B30" i="2"/>
  <c r="D30" i="2" s="1"/>
  <c r="H30" i="2" s="1"/>
  <c r="B42" i="2"/>
  <c r="D42" i="2" s="1"/>
  <c r="H42" i="2" s="1"/>
  <c r="B332" i="2"/>
  <c r="D332" i="2" s="1"/>
  <c r="H332" i="2" s="1"/>
  <c r="B351" i="2"/>
  <c r="D351" i="2" s="1"/>
  <c r="H351" i="2" s="1"/>
  <c r="B40" i="2"/>
  <c r="D40" i="2" s="1"/>
  <c r="H40" i="2" s="1"/>
  <c r="B281" i="2"/>
  <c r="D281" i="2" s="1"/>
  <c r="H281" i="2" s="1"/>
  <c r="B22" i="2"/>
  <c r="D22" i="2" s="1"/>
  <c r="H22" i="2" s="1"/>
  <c r="B203" i="2"/>
  <c r="D203" i="2" s="1"/>
  <c r="H203" i="2" s="1"/>
  <c r="B342" i="2"/>
  <c r="D342" i="2" s="1"/>
  <c r="H342" i="2" s="1"/>
  <c r="B343" i="2"/>
  <c r="D343" i="2" s="1"/>
  <c r="H343" i="2" s="1"/>
  <c r="B41" i="2"/>
  <c r="D41" i="2" s="1"/>
  <c r="H41" i="2" s="1"/>
  <c r="B230" i="2"/>
  <c r="D230" i="2" s="1"/>
  <c r="H230" i="2" s="1"/>
  <c r="B33" i="2"/>
  <c r="D33" i="2" s="1"/>
  <c r="H33" i="2" s="1"/>
  <c r="B121" i="2"/>
  <c r="D121" i="2" s="1"/>
  <c r="H121" i="2" s="1"/>
  <c r="B163" i="2"/>
  <c r="D163" i="2" s="1"/>
  <c r="H163" i="2" s="1"/>
  <c r="B122" i="2"/>
  <c r="D122" i="2" s="1"/>
  <c r="H122" i="2" s="1"/>
  <c r="B190" i="2"/>
  <c r="D190" i="2" s="1"/>
  <c r="H190" i="2" s="1"/>
  <c r="B302" i="2"/>
  <c r="D302" i="2" s="1"/>
  <c r="H302" i="2" s="1"/>
  <c r="B211" i="2"/>
  <c r="D211" i="2" s="1"/>
  <c r="H211" i="2" s="1"/>
  <c r="B192" i="2"/>
  <c r="D192" i="2" s="1"/>
  <c r="H192" i="2" s="1"/>
  <c r="B380" i="2"/>
  <c r="D380" i="2" s="1"/>
  <c r="H380" i="2" s="1"/>
  <c r="B92" i="2"/>
  <c r="D92" i="2" s="1"/>
  <c r="H92" i="2" s="1"/>
  <c r="B63" i="2"/>
  <c r="D63" i="2" s="1"/>
  <c r="H63" i="2" s="1"/>
  <c r="B31" i="2"/>
  <c r="D31" i="2" s="1"/>
  <c r="H31" i="2" s="1"/>
  <c r="B392" i="2"/>
  <c r="D392" i="2" s="1"/>
  <c r="H392" i="2" s="1"/>
  <c r="B131" i="2"/>
  <c r="D131" i="2" s="1"/>
  <c r="H131" i="2" s="1"/>
  <c r="B293" i="2"/>
  <c r="D293" i="2" s="1"/>
  <c r="H293" i="2" s="1"/>
  <c r="B173" i="2"/>
  <c r="D173" i="2" s="1"/>
  <c r="H173" i="2" s="1"/>
  <c r="B331" i="2"/>
  <c r="D331" i="2" s="1"/>
  <c r="H331" i="2" s="1"/>
  <c r="B353" i="2"/>
  <c r="D353" i="2" s="1"/>
  <c r="H353" i="2" s="1"/>
  <c r="B402" i="2"/>
  <c r="D402" i="2" s="1"/>
  <c r="H402" i="2" s="1"/>
  <c r="B251" i="2"/>
  <c r="D251" i="2" s="1"/>
  <c r="H251" i="2" s="1"/>
  <c r="B311" i="2"/>
  <c r="D311" i="2" s="1"/>
  <c r="H311" i="2" s="1"/>
  <c r="B153" i="2"/>
  <c r="D153" i="2" s="1"/>
  <c r="H153" i="2" s="1"/>
  <c r="B200" i="2"/>
  <c r="D200" i="2" s="1"/>
  <c r="H200" i="2" s="1"/>
  <c r="B161" i="2"/>
  <c r="D161" i="2" s="1"/>
  <c r="H161" i="2" s="1"/>
  <c r="B371" i="2"/>
  <c r="D371" i="2" s="1"/>
  <c r="H371" i="2" s="1"/>
  <c r="B133" i="2"/>
  <c r="D133" i="2" s="1"/>
  <c r="H133" i="2" s="1"/>
  <c r="B252" i="2"/>
  <c r="D252" i="2" s="1"/>
  <c r="H252" i="2" s="1"/>
  <c r="B172" i="2"/>
  <c r="D172" i="2" s="1"/>
  <c r="H172" i="2" s="1"/>
  <c r="B183" i="2"/>
  <c r="D183" i="2" s="1"/>
  <c r="H183" i="2" s="1"/>
  <c r="B283" i="2"/>
  <c r="D283" i="2" s="1"/>
  <c r="H283" i="2" s="1"/>
  <c r="B393" i="2"/>
  <c r="D393" i="2" s="1"/>
  <c r="H393" i="2" s="1"/>
  <c r="B60" i="2"/>
  <c r="D60" i="2" s="1"/>
  <c r="H60" i="2" s="1"/>
  <c r="B273" i="2"/>
  <c r="D273" i="2" s="1"/>
  <c r="H273" i="2" s="1"/>
  <c r="B191" i="2"/>
  <c r="D191" i="2" s="1"/>
  <c r="H191" i="2" s="1"/>
  <c r="B333" i="2"/>
  <c r="D333" i="2" s="1"/>
  <c r="H333" i="2" s="1"/>
  <c r="B221" i="2"/>
  <c r="D221" i="2" s="1"/>
  <c r="H221" i="2" s="1"/>
  <c r="B400" i="2"/>
  <c r="D400" i="2" s="1"/>
  <c r="H400" i="2" s="1"/>
  <c r="B263" i="2"/>
  <c r="D263" i="2" s="1"/>
  <c r="H263" i="2" s="1"/>
  <c r="B182" i="2"/>
  <c r="D182" i="2" s="1"/>
  <c r="H182" i="2" s="1"/>
  <c r="B32" i="2"/>
  <c r="D32" i="2" s="1"/>
  <c r="H32" i="2" s="1"/>
  <c r="B141" i="2"/>
  <c r="D141" i="2" s="1"/>
  <c r="H141" i="2" s="1"/>
  <c r="B213" i="2"/>
  <c r="D213" i="2" s="1"/>
  <c r="H213" i="2" s="1"/>
  <c r="B360" i="2"/>
  <c r="D360" i="2" s="1"/>
  <c r="H360" i="2" s="1"/>
  <c r="B383" i="2"/>
  <c r="D383" i="2" s="1"/>
  <c r="H383" i="2" s="1"/>
  <c r="B352" i="2"/>
  <c r="D352" i="2" s="1"/>
  <c r="H352" i="2" s="1"/>
  <c r="C352" i="2"/>
  <c r="J352" i="2" s="1"/>
  <c r="B361" i="2"/>
  <c r="D361" i="2" s="1"/>
  <c r="H361" i="2" s="1"/>
  <c r="B260" i="2"/>
  <c r="D260" i="2" s="1"/>
  <c r="H260" i="2" s="1"/>
  <c r="C260" i="2"/>
  <c r="J260" i="2" s="1"/>
  <c r="B262" i="2"/>
  <c r="D262" i="2" s="1"/>
  <c r="H262" i="2" s="1"/>
  <c r="B152" i="2"/>
  <c r="D152" i="2" s="1"/>
  <c r="H152" i="2" s="1"/>
  <c r="C152" i="2"/>
  <c r="J152" i="2" s="1"/>
  <c r="B250" i="2"/>
  <c r="D250" i="2" s="1"/>
  <c r="H250" i="2" s="1"/>
  <c r="C250" i="2"/>
  <c r="J250" i="2" s="1"/>
  <c r="B312" i="2"/>
  <c r="D312" i="2" s="1"/>
  <c r="H312" i="2" s="1"/>
  <c r="C312" i="2"/>
  <c r="J312" i="2" s="1"/>
  <c r="B322" i="2"/>
  <c r="D322" i="2" s="1"/>
  <c r="H322" i="2" s="1"/>
  <c r="C322" i="2"/>
  <c r="J322" i="2" s="1"/>
  <c r="B210" i="2"/>
  <c r="D210" i="2" s="1"/>
  <c r="H210" i="2" s="1"/>
  <c r="B171" i="2"/>
  <c r="D171" i="2" s="1"/>
  <c r="H171" i="2" s="1"/>
  <c r="B292" i="2"/>
  <c r="D292" i="2" s="1"/>
  <c r="H292" i="2" s="1"/>
  <c r="C292" i="2"/>
  <c r="J292" i="2" s="1"/>
  <c r="B300" i="2"/>
  <c r="D300" i="2" s="1"/>
  <c r="H300" i="2" s="1"/>
  <c r="C300" i="2"/>
  <c r="J300" i="2" s="1"/>
  <c r="B350" i="2"/>
  <c r="D350" i="2" s="1"/>
  <c r="H350" i="2" s="1"/>
  <c r="C350" i="2"/>
  <c r="J350" i="2" s="1"/>
  <c r="B303" i="2"/>
  <c r="D303" i="2" s="1"/>
  <c r="H303" i="2" s="1"/>
  <c r="B373" i="2"/>
  <c r="D373" i="2" s="1"/>
  <c r="H373" i="2" s="1"/>
  <c r="B102" i="2"/>
  <c r="D102" i="2" s="1"/>
  <c r="H102" i="2" s="1"/>
  <c r="B151" i="2"/>
  <c r="D151" i="2" s="1"/>
  <c r="H151" i="2" s="1"/>
  <c r="B272" i="2"/>
  <c r="D272" i="2" s="1"/>
  <c r="H272" i="2" s="1"/>
  <c r="B313" i="2"/>
  <c r="D313" i="2" s="1"/>
  <c r="H313" i="2" s="1"/>
  <c r="C313" i="2"/>
  <c r="J313" i="2" s="1"/>
  <c r="B61" i="2"/>
  <c r="D61" i="2" s="1"/>
  <c r="H61" i="2" s="1"/>
  <c r="B23" i="2"/>
  <c r="D23" i="2" s="1"/>
  <c r="H23" i="2" s="1"/>
  <c r="B290" i="2"/>
  <c r="D290" i="2" s="1"/>
  <c r="H290" i="2" s="1"/>
  <c r="B270" i="2"/>
  <c r="D270" i="2" s="1"/>
  <c r="H270" i="2" s="1"/>
  <c r="B53" i="2"/>
  <c r="D53" i="2" s="1"/>
  <c r="H53" i="2" s="1"/>
  <c r="B83" i="2"/>
  <c r="D83" i="2" s="1"/>
  <c r="H83" i="2" s="1"/>
  <c r="B103" i="2"/>
  <c r="D103" i="2" s="1"/>
  <c r="H103" i="2" s="1"/>
  <c r="B132" i="2"/>
  <c r="D132" i="2" s="1"/>
  <c r="H132" i="2" s="1"/>
  <c r="B323" i="2"/>
  <c r="D323" i="2" s="1"/>
  <c r="H323" i="2" s="1"/>
  <c r="B101" i="2"/>
  <c r="D101" i="2" s="1"/>
  <c r="H101" i="2" s="1"/>
  <c r="B111" i="2"/>
  <c r="D111" i="2" s="1"/>
  <c r="H111" i="2" s="1"/>
  <c r="B52" i="2"/>
  <c r="D52" i="2" s="1"/>
  <c r="H52" i="2" s="1"/>
  <c r="B362" i="2"/>
  <c r="D362" i="2" s="1"/>
  <c r="H362" i="2" s="1"/>
  <c r="B220" i="2"/>
  <c r="D220" i="2" s="1"/>
  <c r="H220" i="2" s="1"/>
  <c r="B370" i="2"/>
  <c r="D370" i="2" s="1"/>
  <c r="H370" i="2" s="1"/>
  <c r="B143" i="2"/>
  <c r="D143" i="2" s="1"/>
  <c r="H143" i="2" s="1"/>
  <c r="B223" i="2"/>
  <c r="D223" i="2" s="1"/>
  <c r="H223" i="2" s="1"/>
  <c r="B193" i="2"/>
  <c r="D193" i="2" s="1"/>
  <c r="H193" i="2" s="1"/>
  <c r="B13" i="2"/>
  <c r="D13" i="2" s="1"/>
  <c r="H13" i="2" s="1"/>
  <c r="B50" i="2"/>
  <c r="D50" i="2" s="1"/>
  <c r="H50" i="2" s="1"/>
  <c r="B142" i="2"/>
  <c r="D142" i="2" s="1"/>
  <c r="H142" i="2" s="1"/>
  <c r="B340" i="2"/>
  <c r="D340" i="2" s="1"/>
  <c r="H340" i="2" s="1"/>
  <c r="B253" i="2"/>
  <c r="D253" i="2" s="1"/>
  <c r="H253" i="2" s="1"/>
  <c r="B232" i="2"/>
  <c r="D232" i="2" s="1"/>
  <c r="H232" i="2" s="1"/>
  <c r="B91" i="2"/>
  <c r="D91" i="2" s="1"/>
  <c r="H91" i="2" s="1"/>
  <c r="B401" i="2"/>
  <c r="D401" i="2" s="1"/>
  <c r="H401" i="2" s="1"/>
  <c r="B291" i="2"/>
  <c r="D291" i="2" s="1"/>
  <c r="H291" i="2" s="1"/>
  <c r="B271" i="2"/>
  <c r="D271" i="2" s="1"/>
  <c r="H271" i="2" s="1"/>
  <c r="B372" i="2"/>
  <c r="D372" i="2" s="1"/>
  <c r="H372" i="2" s="1"/>
  <c r="B330" i="2"/>
  <c r="D330" i="2" s="1"/>
  <c r="H330" i="2" s="1"/>
  <c r="B93" i="2"/>
  <c r="D93" i="2" s="1"/>
  <c r="H93" i="2" s="1"/>
  <c r="B12" i="2"/>
  <c r="D12" i="2" s="1"/>
  <c r="H12" i="2" s="1"/>
  <c r="B231" i="2"/>
  <c r="D231" i="2" s="1"/>
  <c r="H231" i="2" s="1"/>
  <c r="B261" i="2"/>
  <c r="D261" i="2" s="1"/>
  <c r="H261" i="2" s="1"/>
  <c r="B222" i="2"/>
  <c r="D222" i="2" s="1"/>
  <c r="H222" i="2" s="1"/>
  <c r="B11" i="2"/>
  <c r="D11" i="2" s="1"/>
  <c r="H11" i="2" s="1"/>
  <c r="B274" i="2"/>
  <c r="D274" i="2" s="1"/>
  <c r="H274" i="2" s="1"/>
  <c r="B265" i="2"/>
  <c r="D265" i="2" s="1"/>
  <c r="H265" i="2" s="1"/>
  <c r="B6" i="2"/>
  <c r="D6" i="2" s="1"/>
  <c r="H6" i="2" s="1"/>
  <c r="B206" i="2"/>
  <c r="D206" i="2" s="1"/>
  <c r="H206" i="2" s="1"/>
  <c r="B197" i="2"/>
  <c r="D197" i="2" s="1"/>
  <c r="H197" i="2" s="1"/>
  <c r="B397" i="2"/>
  <c r="D397" i="2" s="1"/>
  <c r="H397" i="2" s="1"/>
  <c r="B158" i="2"/>
  <c r="D158" i="2" s="1"/>
  <c r="H158" i="2" s="1"/>
  <c r="B358" i="2"/>
  <c r="D358" i="2" s="1"/>
  <c r="H358" i="2" s="1"/>
  <c r="B159" i="2"/>
  <c r="D159" i="2" s="1"/>
  <c r="H159" i="2" s="1"/>
  <c r="B359" i="2"/>
  <c r="D359" i="2" s="1"/>
  <c r="H359" i="2" s="1"/>
  <c r="B196" i="2"/>
  <c r="D196" i="2" s="1"/>
  <c r="H196" i="2" s="1"/>
  <c r="B387" i="2"/>
  <c r="D387" i="2" s="1"/>
  <c r="H387" i="2" s="1"/>
  <c r="B74" i="2"/>
  <c r="D74" i="2" s="1"/>
  <c r="H74" i="2" s="1"/>
  <c r="B65" i="2"/>
  <c r="D65" i="2" s="1"/>
  <c r="H65" i="2" s="1"/>
  <c r="B80" i="2"/>
  <c r="D80" i="2" s="1"/>
  <c r="H80" i="2" s="1"/>
  <c r="B84" i="2"/>
  <c r="D84" i="2" s="1"/>
  <c r="H84" i="2" s="1"/>
  <c r="B284" i="2"/>
  <c r="D284" i="2" s="1"/>
  <c r="H284" i="2" s="1"/>
  <c r="B75" i="2"/>
  <c r="D75" i="2" s="1"/>
  <c r="H75" i="2" s="1"/>
  <c r="B275" i="2"/>
  <c r="D275" i="2" s="1"/>
  <c r="H275" i="2" s="1"/>
  <c r="B16" i="2"/>
  <c r="I16" i="2" s="1"/>
  <c r="B216" i="2"/>
  <c r="D216" i="2" s="1"/>
  <c r="H216" i="2" s="1"/>
  <c r="B7" i="2"/>
  <c r="D7" i="2" s="1"/>
  <c r="H7" i="2" s="1"/>
  <c r="B207" i="2"/>
  <c r="D207" i="2" s="1"/>
  <c r="H207" i="2" s="1"/>
  <c r="B70" i="2"/>
  <c r="D70" i="2" s="1"/>
  <c r="H70" i="2" s="1"/>
  <c r="B168" i="2"/>
  <c r="D168" i="2" s="1"/>
  <c r="H168" i="2" s="1"/>
  <c r="B368" i="2"/>
  <c r="D368" i="2" s="1"/>
  <c r="H368" i="2" s="1"/>
  <c r="B169" i="2"/>
  <c r="D169" i="2" s="1"/>
  <c r="H169" i="2" s="1"/>
  <c r="B369" i="2"/>
  <c r="D369" i="2" s="1"/>
  <c r="H369" i="2" s="1"/>
  <c r="B110" i="2"/>
  <c r="D110" i="2" s="1"/>
  <c r="H110" i="2" s="1"/>
  <c r="B348" i="2"/>
  <c r="D348" i="2" s="1"/>
  <c r="H348" i="2" s="1"/>
  <c r="B94" i="2"/>
  <c r="D94" i="2" s="1"/>
  <c r="H94" i="2" s="1"/>
  <c r="B104" i="2"/>
  <c r="D104" i="2" s="1"/>
  <c r="H104" i="2" s="1"/>
  <c r="B304" i="2"/>
  <c r="D304" i="2" s="1"/>
  <c r="H304" i="2" s="1"/>
  <c r="B95" i="2"/>
  <c r="D95" i="2" s="1"/>
  <c r="H95" i="2" s="1"/>
  <c r="B295" i="2"/>
  <c r="D295" i="2" s="1"/>
  <c r="H295" i="2" s="1"/>
  <c r="B36" i="2"/>
  <c r="D36" i="2" s="1"/>
  <c r="H36" i="2" s="1"/>
  <c r="B236" i="2"/>
  <c r="D236" i="2" s="1"/>
  <c r="H236" i="2" s="1"/>
  <c r="B27" i="2"/>
  <c r="D27" i="2" s="1"/>
  <c r="H27" i="2" s="1"/>
  <c r="B227" i="2"/>
  <c r="D227" i="2" s="1"/>
  <c r="H227" i="2" s="1"/>
  <c r="B160" i="2"/>
  <c r="D160" i="2" s="1"/>
  <c r="H160" i="2" s="1"/>
  <c r="B188" i="2"/>
  <c r="D188" i="2" s="1"/>
  <c r="H188" i="2" s="1"/>
  <c r="B388" i="2"/>
  <c r="D388" i="2" s="1"/>
  <c r="H388" i="2" s="1"/>
  <c r="B189" i="2"/>
  <c r="D189" i="2" s="1"/>
  <c r="H189" i="2" s="1"/>
  <c r="B389" i="2"/>
  <c r="D389" i="2" s="1"/>
  <c r="H389" i="2" s="1"/>
  <c r="B85" i="2"/>
  <c r="D85" i="2" s="1"/>
  <c r="H85" i="2" s="1"/>
  <c r="B226" i="2"/>
  <c r="D226" i="2" s="1"/>
  <c r="H226" i="2" s="1"/>
  <c r="B130" i="2"/>
  <c r="D130" i="2" s="1"/>
  <c r="H130" i="2" s="1"/>
  <c r="B114" i="2"/>
  <c r="D114" i="2" s="1"/>
  <c r="H114" i="2" s="1"/>
  <c r="B314" i="2"/>
  <c r="D314" i="2" s="1"/>
  <c r="H314" i="2" s="1"/>
  <c r="B105" i="2"/>
  <c r="D105" i="2" s="1"/>
  <c r="H105" i="2" s="1"/>
  <c r="B305" i="2"/>
  <c r="D305" i="2" s="1"/>
  <c r="H305" i="2" s="1"/>
  <c r="B46" i="2"/>
  <c r="D46" i="2" s="1"/>
  <c r="H46" i="2" s="1"/>
  <c r="B246" i="2"/>
  <c r="D246" i="2" s="1"/>
  <c r="H246" i="2" s="1"/>
  <c r="B37" i="2"/>
  <c r="D37" i="2" s="1"/>
  <c r="H37" i="2" s="1"/>
  <c r="B237" i="2"/>
  <c r="D237" i="2" s="1"/>
  <c r="H237" i="2" s="1"/>
  <c r="B180" i="2"/>
  <c r="D180" i="2" s="1"/>
  <c r="H180" i="2" s="1"/>
  <c r="B198" i="2"/>
  <c r="D198" i="2" s="1"/>
  <c r="H198" i="2" s="1"/>
  <c r="B398" i="2"/>
  <c r="D398" i="2" s="1"/>
  <c r="H398" i="2" s="1"/>
  <c r="B199" i="2"/>
  <c r="D199" i="2" s="1"/>
  <c r="H199" i="2" s="1"/>
  <c r="B399" i="2"/>
  <c r="D399" i="2" s="1"/>
  <c r="H399" i="2" s="1"/>
  <c r="B124" i="2"/>
  <c r="D124" i="2" s="1"/>
  <c r="H124" i="2" s="1"/>
  <c r="B324" i="2"/>
  <c r="D324" i="2" s="1"/>
  <c r="H324" i="2" s="1"/>
  <c r="B115" i="2"/>
  <c r="D115" i="2" s="1"/>
  <c r="H115" i="2" s="1"/>
  <c r="B315" i="2"/>
  <c r="D315" i="2" s="1"/>
  <c r="H315" i="2" s="1"/>
  <c r="B56" i="2"/>
  <c r="D56" i="2" s="1"/>
  <c r="H56" i="2" s="1"/>
  <c r="B256" i="2"/>
  <c r="D256" i="2" s="1"/>
  <c r="H256" i="2" s="1"/>
  <c r="B47" i="2"/>
  <c r="D47" i="2" s="1"/>
  <c r="H47" i="2" s="1"/>
  <c r="B247" i="2"/>
  <c r="D247" i="2" s="1"/>
  <c r="H247" i="2" s="1"/>
  <c r="B8" i="2"/>
  <c r="D8" i="2" s="1"/>
  <c r="H8" i="2" s="1"/>
  <c r="B208" i="2"/>
  <c r="D208" i="2" s="1"/>
  <c r="H208" i="2" s="1"/>
  <c r="B9" i="2"/>
  <c r="I9" i="2" s="1"/>
  <c r="B209" i="2"/>
  <c r="D209" i="2" s="1"/>
  <c r="H209" i="2" s="1"/>
  <c r="B10" i="2"/>
  <c r="I10" i="2" s="1"/>
  <c r="B264" i="2"/>
  <c r="D264" i="2" s="1"/>
  <c r="H264" i="2" s="1"/>
  <c r="B149" i="2"/>
  <c r="D149" i="2" s="1"/>
  <c r="H149" i="2" s="1"/>
  <c r="B285" i="2"/>
  <c r="D285" i="2" s="1"/>
  <c r="H285" i="2" s="1"/>
  <c r="B17" i="2"/>
  <c r="D17" i="2" s="1"/>
  <c r="H17" i="2" s="1"/>
  <c r="B178" i="2"/>
  <c r="D178" i="2" s="1"/>
  <c r="H178" i="2" s="1"/>
  <c r="B379" i="2"/>
  <c r="D379" i="2" s="1"/>
  <c r="H379" i="2" s="1"/>
  <c r="B134" i="2"/>
  <c r="D134" i="2" s="1"/>
  <c r="H134" i="2" s="1"/>
  <c r="B334" i="2"/>
  <c r="D334" i="2" s="1"/>
  <c r="H334" i="2" s="1"/>
  <c r="B125" i="2"/>
  <c r="D125" i="2" s="1"/>
  <c r="H125" i="2" s="1"/>
  <c r="B325" i="2"/>
  <c r="D325" i="2" s="1"/>
  <c r="H325" i="2" s="1"/>
  <c r="B66" i="2"/>
  <c r="D66" i="2" s="1"/>
  <c r="H66" i="2" s="1"/>
  <c r="B266" i="2"/>
  <c r="D266" i="2" s="1"/>
  <c r="H266" i="2" s="1"/>
  <c r="B57" i="2"/>
  <c r="D57" i="2" s="1"/>
  <c r="H57" i="2" s="1"/>
  <c r="B257" i="2"/>
  <c r="D257" i="2" s="1"/>
  <c r="H257" i="2" s="1"/>
  <c r="B18" i="2"/>
  <c r="D18" i="2" s="1"/>
  <c r="H18" i="2" s="1"/>
  <c r="B218" i="2"/>
  <c r="D218" i="2" s="1"/>
  <c r="H218" i="2" s="1"/>
  <c r="B19" i="2"/>
  <c r="D19" i="2" s="1"/>
  <c r="H19" i="2" s="1"/>
  <c r="B219" i="2"/>
  <c r="D219" i="2" s="1"/>
  <c r="H219" i="2" s="1"/>
  <c r="B20" i="2"/>
  <c r="D20" i="2" s="1"/>
  <c r="H20" i="2" s="1"/>
  <c r="B144" i="2"/>
  <c r="D144" i="2" s="1"/>
  <c r="H144" i="2" s="1"/>
  <c r="B344" i="2"/>
  <c r="D344" i="2" s="1"/>
  <c r="H344" i="2" s="1"/>
  <c r="B135" i="2"/>
  <c r="D135" i="2" s="1"/>
  <c r="H135" i="2" s="1"/>
  <c r="B335" i="2"/>
  <c r="D335" i="2" s="1"/>
  <c r="H335" i="2" s="1"/>
  <c r="B76" i="2"/>
  <c r="D76" i="2" s="1"/>
  <c r="H76" i="2" s="1"/>
  <c r="B276" i="2"/>
  <c r="D276" i="2" s="1"/>
  <c r="H276" i="2" s="1"/>
  <c r="B67" i="2"/>
  <c r="D67" i="2" s="1"/>
  <c r="H67" i="2" s="1"/>
  <c r="B267" i="2"/>
  <c r="D267" i="2" s="1"/>
  <c r="H267" i="2" s="1"/>
  <c r="B28" i="2"/>
  <c r="D28" i="2" s="1"/>
  <c r="H28" i="2" s="1"/>
  <c r="B228" i="2"/>
  <c r="D228" i="2" s="1"/>
  <c r="H228" i="2" s="1"/>
  <c r="B29" i="2"/>
  <c r="D29" i="2" s="1"/>
  <c r="H29" i="2" s="1"/>
  <c r="B229" i="2"/>
  <c r="D229" i="2" s="1"/>
  <c r="H229" i="2" s="1"/>
  <c r="B154" i="2"/>
  <c r="D154" i="2" s="1"/>
  <c r="H154" i="2" s="1"/>
  <c r="B354" i="2"/>
  <c r="D354" i="2" s="1"/>
  <c r="H354" i="2" s="1"/>
  <c r="B145" i="2"/>
  <c r="D145" i="2" s="1"/>
  <c r="H145" i="2" s="1"/>
  <c r="B345" i="2"/>
  <c r="D345" i="2" s="1"/>
  <c r="H345" i="2" s="1"/>
  <c r="B86" i="2"/>
  <c r="D86" i="2" s="1"/>
  <c r="H86" i="2" s="1"/>
  <c r="B286" i="2"/>
  <c r="D286" i="2" s="1"/>
  <c r="H286" i="2" s="1"/>
  <c r="B77" i="2"/>
  <c r="D77" i="2" s="1"/>
  <c r="H77" i="2" s="1"/>
  <c r="B277" i="2"/>
  <c r="D277" i="2" s="1"/>
  <c r="H277" i="2" s="1"/>
  <c r="B38" i="2"/>
  <c r="D38" i="2" s="1"/>
  <c r="H38" i="2" s="1"/>
  <c r="B238" i="2"/>
  <c r="D238" i="2" s="1"/>
  <c r="H238" i="2" s="1"/>
  <c r="B39" i="2"/>
  <c r="D39" i="2" s="1"/>
  <c r="H39" i="2" s="1"/>
  <c r="B239" i="2"/>
  <c r="D239" i="2" s="1"/>
  <c r="H239" i="2" s="1"/>
  <c r="B164" i="2"/>
  <c r="D164" i="2" s="1"/>
  <c r="H164" i="2" s="1"/>
  <c r="B364" i="2"/>
  <c r="D364" i="2" s="1"/>
  <c r="H364" i="2" s="1"/>
  <c r="B155" i="2"/>
  <c r="D155" i="2" s="1"/>
  <c r="H155" i="2" s="1"/>
  <c r="B355" i="2"/>
  <c r="D355" i="2" s="1"/>
  <c r="H355" i="2" s="1"/>
  <c r="B96" i="2"/>
  <c r="D96" i="2" s="1"/>
  <c r="H96" i="2" s="1"/>
  <c r="B296" i="2"/>
  <c r="D296" i="2" s="1"/>
  <c r="H296" i="2" s="1"/>
  <c r="B87" i="2"/>
  <c r="D87" i="2" s="1"/>
  <c r="H87" i="2" s="1"/>
  <c r="B287" i="2"/>
  <c r="D287" i="2" s="1"/>
  <c r="H287" i="2" s="1"/>
  <c r="B48" i="2"/>
  <c r="D48" i="2" s="1"/>
  <c r="H48" i="2" s="1"/>
  <c r="B248" i="2"/>
  <c r="D248" i="2" s="1"/>
  <c r="H248" i="2" s="1"/>
  <c r="B49" i="2"/>
  <c r="D49" i="2" s="1"/>
  <c r="H49" i="2" s="1"/>
  <c r="B249" i="2"/>
  <c r="D249" i="2" s="1"/>
  <c r="H249" i="2" s="1"/>
  <c r="B55" i="2"/>
  <c r="D55" i="2" s="1"/>
  <c r="H55" i="2" s="1"/>
  <c r="B174" i="2"/>
  <c r="D174" i="2" s="1"/>
  <c r="H174" i="2" s="1"/>
  <c r="B374" i="2"/>
  <c r="D374" i="2" s="1"/>
  <c r="H374" i="2" s="1"/>
  <c r="B165" i="2"/>
  <c r="D165" i="2" s="1"/>
  <c r="H165" i="2" s="1"/>
  <c r="B365" i="2"/>
  <c r="D365" i="2" s="1"/>
  <c r="H365" i="2" s="1"/>
  <c r="B106" i="2"/>
  <c r="D106" i="2" s="1"/>
  <c r="H106" i="2" s="1"/>
  <c r="B306" i="2"/>
  <c r="D306" i="2" s="1"/>
  <c r="H306" i="2" s="1"/>
  <c r="B97" i="2"/>
  <c r="D97" i="2" s="1"/>
  <c r="H97" i="2" s="1"/>
  <c r="B297" i="2"/>
  <c r="D297" i="2" s="1"/>
  <c r="H297" i="2" s="1"/>
  <c r="B58" i="2"/>
  <c r="D58" i="2" s="1"/>
  <c r="H58" i="2" s="1"/>
  <c r="B258" i="2"/>
  <c r="D258" i="2" s="1"/>
  <c r="H258" i="2" s="1"/>
  <c r="B59" i="2"/>
  <c r="D59" i="2" s="1"/>
  <c r="H59" i="2" s="1"/>
  <c r="B259" i="2"/>
  <c r="D259" i="2" s="1"/>
  <c r="H259" i="2" s="1"/>
  <c r="B378" i="2"/>
  <c r="D378" i="2" s="1"/>
  <c r="H378" i="2" s="1"/>
  <c r="B184" i="2"/>
  <c r="D184" i="2" s="1"/>
  <c r="H184" i="2" s="1"/>
  <c r="B384" i="2"/>
  <c r="D384" i="2" s="1"/>
  <c r="H384" i="2" s="1"/>
  <c r="B175" i="2"/>
  <c r="D175" i="2" s="1"/>
  <c r="H175" i="2" s="1"/>
  <c r="B375" i="2"/>
  <c r="D375" i="2" s="1"/>
  <c r="H375" i="2" s="1"/>
  <c r="B116" i="2"/>
  <c r="D116" i="2" s="1"/>
  <c r="H116" i="2" s="1"/>
  <c r="B316" i="2"/>
  <c r="D316" i="2" s="1"/>
  <c r="H316" i="2" s="1"/>
  <c r="B107" i="2"/>
  <c r="D107" i="2" s="1"/>
  <c r="H107" i="2" s="1"/>
  <c r="B307" i="2"/>
  <c r="D307" i="2" s="1"/>
  <c r="H307" i="2" s="1"/>
  <c r="B68" i="2"/>
  <c r="D68" i="2" s="1"/>
  <c r="H68" i="2" s="1"/>
  <c r="B268" i="2"/>
  <c r="D268" i="2" s="1"/>
  <c r="H268" i="2" s="1"/>
  <c r="B69" i="2"/>
  <c r="D69" i="2" s="1"/>
  <c r="H69" i="2" s="1"/>
  <c r="B269" i="2"/>
  <c r="D269" i="2" s="1"/>
  <c r="H269" i="2" s="1"/>
  <c r="B194" i="2"/>
  <c r="D194" i="2" s="1"/>
  <c r="H194" i="2" s="1"/>
  <c r="B394" i="2"/>
  <c r="D394" i="2" s="1"/>
  <c r="H394" i="2" s="1"/>
  <c r="B185" i="2"/>
  <c r="D185" i="2" s="1"/>
  <c r="H185" i="2" s="1"/>
  <c r="B385" i="2"/>
  <c r="D385" i="2" s="1"/>
  <c r="H385" i="2" s="1"/>
  <c r="B126" i="2"/>
  <c r="D126" i="2" s="1"/>
  <c r="H126" i="2" s="1"/>
  <c r="B326" i="2"/>
  <c r="D326" i="2" s="1"/>
  <c r="H326" i="2" s="1"/>
  <c r="B117" i="2"/>
  <c r="D117" i="2" s="1"/>
  <c r="H117" i="2" s="1"/>
  <c r="B317" i="2"/>
  <c r="D317" i="2" s="1"/>
  <c r="H317" i="2" s="1"/>
  <c r="B78" i="2"/>
  <c r="D78" i="2" s="1"/>
  <c r="H78" i="2" s="1"/>
  <c r="B278" i="2"/>
  <c r="D278" i="2" s="1"/>
  <c r="H278" i="2" s="1"/>
  <c r="B79" i="2"/>
  <c r="D79" i="2" s="1"/>
  <c r="H79" i="2" s="1"/>
  <c r="B279" i="2"/>
  <c r="D279" i="2" s="1"/>
  <c r="H279" i="2" s="1"/>
  <c r="B179" i="2"/>
  <c r="D179" i="2" s="1"/>
  <c r="H179" i="2" s="1"/>
  <c r="B4" i="2"/>
  <c r="I4" i="2" s="1"/>
  <c r="B204" i="2"/>
  <c r="D204" i="2" s="1"/>
  <c r="H204" i="2" s="1"/>
  <c r="B100" i="2"/>
  <c r="D100" i="2" s="1"/>
  <c r="H100" i="2" s="1"/>
  <c r="B195" i="2"/>
  <c r="D195" i="2" s="1"/>
  <c r="H195" i="2" s="1"/>
  <c r="B395" i="2"/>
  <c r="D395" i="2" s="1"/>
  <c r="H395" i="2" s="1"/>
  <c r="B136" i="2"/>
  <c r="D136" i="2" s="1"/>
  <c r="H136" i="2" s="1"/>
  <c r="B336" i="2"/>
  <c r="D336" i="2" s="1"/>
  <c r="H336" i="2" s="1"/>
  <c r="B127" i="2"/>
  <c r="D127" i="2" s="1"/>
  <c r="H127" i="2" s="1"/>
  <c r="B327" i="2"/>
  <c r="D327" i="2" s="1"/>
  <c r="H327" i="2" s="1"/>
  <c r="B88" i="2"/>
  <c r="D88" i="2" s="1"/>
  <c r="H88" i="2" s="1"/>
  <c r="B288" i="2"/>
  <c r="D288" i="2" s="1"/>
  <c r="H288" i="2" s="1"/>
  <c r="B89" i="2"/>
  <c r="D89" i="2" s="1"/>
  <c r="H89" i="2" s="1"/>
  <c r="B289" i="2"/>
  <c r="D289" i="2" s="1"/>
  <c r="H289" i="2" s="1"/>
  <c r="B255" i="2"/>
  <c r="D255" i="2" s="1"/>
  <c r="H255" i="2" s="1"/>
  <c r="B148" i="2"/>
  <c r="D148" i="2" s="1"/>
  <c r="H148" i="2" s="1"/>
  <c r="B294" i="2"/>
  <c r="D294" i="2" s="1"/>
  <c r="H294" i="2" s="1"/>
  <c r="B14" i="2"/>
  <c r="D14" i="2" s="1"/>
  <c r="H14" i="2" s="1"/>
  <c r="B214" i="2"/>
  <c r="D214" i="2" s="1"/>
  <c r="H214" i="2" s="1"/>
  <c r="B5" i="2"/>
  <c r="D5" i="2" s="1"/>
  <c r="H5" i="2" s="1"/>
  <c r="B205" i="2"/>
  <c r="D205" i="2" s="1"/>
  <c r="H205" i="2" s="1"/>
  <c r="B90" i="2"/>
  <c r="D90" i="2" s="1"/>
  <c r="H90" i="2" s="1"/>
  <c r="B146" i="2"/>
  <c r="D146" i="2" s="1"/>
  <c r="H146" i="2" s="1"/>
  <c r="B346" i="2"/>
  <c r="D346" i="2" s="1"/>
  <c r="H346" i="2" s="1"/>
  <c r="B137" i="2"/>
  <c r="D137" i="2" s="1"/>
  <c r="H137" i="2" s="1"/>
  <c r="B337" i="2"/>
  <c r="D337" i="2" s="1"/>
  <c r="H337" i="2" s="1"/>
  <c r="B98" i="2"/>
  <c r="D98" i="2" s="1"/>
  <c r="H98" i="2" s="1"/>
  <c r="B298" i="2"/>
  <c r="D298" i="2" s="1"/>
  <c r="H298" i="2" s="1"/>
  <c r="B99" i="2"/>
  <c r="D99" i="2" s="1"/>
  <c r="H99" i="2" s="1"/>
  <c r="B299" i="2"/>
  <c r="D299" i="2" s="1"/>
  <c r="H299" i="2" s="1"/>
  <c r="B64" i="2"/>
  <c r="D64" i="2" s="1"/>
  <c r="H64" i="2" s="1"/>
  <c r="B396" i="2"/>
  <c r="D396" i="2" s="1"/>
  <c r="H396" i="2" s="1"/>
  <c r="B349" i="2"/>
  <c r="D349" i="2" s="1"/>
  <c r="H349" i="2" s="1"/>
  <c r="B26" i="2"/>
  <c r="D26" i="2" s="1"/>
  <c r="H26" i="2" s="1"/>
  <c r="B217" i="2"/>
  <c r="D217" i="2" s="1"/>
  <c r="H217" i="2" s="1"/>
  <c r="B24" i="2"/>
  <c r="D24" i="2" s="1"/>
  <c r="H24" i="2" s="1"/>
  <c r="B224" i="2"/>
  <c r="D224" i="2" s="1"/>
  <c r="H224" i="2" s="1"/>
  <c r="B15" i="2"/>
  <c r="I15" i="2" s="1"/>
  <c r="B215" i="2"/>
  <c r="D215" i="2" s="1"/>
  <c r="H215" i="2" s="1"/>
  <c r="B120" i="2"/>
  <c r="D120" i="2" s="1"/>
  <c r="H120" i="2" s="1"/>
  <c r="B156" i="2"/>
  <c r="D156" i="2" s="1"/>
  <c r="H156" i="2" s="1"/>
  <c r="B356" i="2"/>
  <c r="D356" i="2" s="1"/>
  <c r="H356" i="2" s="1"/>
  <c r="B147" i="2"/>
  <c r="D147" i="2" s="1"/>
  <c r="H147" i="2" s="1"/>
  <c r="B347" i="2"/>
  <c r="D347" i="2" s="1"/>
  <c r="H347" i="2" s="1"/>
  <c r="B108" i="2"/>
  <c r="D108" i="2" s="1"/>
  <c r="H108" i="2" s="1"/>
  <c r="B308" i="2"/>
  <c r="D308" i="2" s="1"/>
  <c r="H308" i="2" s="1"/>
  <c r="B109" i="2"/>
  <c r="D109" i="2" s="1"/>
  <c r="H109" i="2" s="1"/>
  <c r="B309" i="2"/>
  <c r="D309" i="2" s="1"/>
  <c r="H309" i="2" s="1"/>
  <c r="B34" i="2"/>
  <c r="D34" i="2" s="1"/>
  <c r="H34" i="2" s="1"/>
  <c r="B234" i="2"/>
  <c r="D234" i="2" s="1"/>
  <c r="H234" i="2" s="1"/>
  <c r="B25" i="2"/>
  <c r="D25" i="2" s="1"/>
  <c r="H25" i="2" s="1"/>
  <c r="B225" i="2"/>
  <c r="D225" i="2" s="1"/>
  <c r="H225" i="2" s="1"/>
  <c r="B140" i="2"/>
  <c r="D140" i="2" s="1"/>
  <c r="H140" i="2" s="1"/>
  <c r="B166" i="2"/>
  <c r="D166" i="2" s="1"/>
  <c r="H166" i="2" s="1"/>
  <c r="B366" i="2"/>
  <c r="D366" i="2" s="1"/>
  <c r="H366" i="2" s="1"/>
  <c r="B157" i="2"/>
  <c r="D157" i="2" s="1"/>
  <c r="H157" i="2" s="1"/>
  <c r="B357" i="2"/>
  <c r="D357" i="2" s="1"/>
  <c r="H357" i="2" s="1"/>
  <c r="B118" i="2"/>
  <c r="D118" i="2" s="1"/>
  <c r="H118" i="2" s="1"/>
  <c r="B318" i="2"/>
  <c r="D318" i="2" s="1"/>
  <c r="H318" i="2" s="1"/>
  <c r="B119" i="2"/>
  <c r="D119" i="2" s="1"/>
  <c r="H119" i="2" s="1"/>
  <c r="B319" i="2"/>
  <c r="D319" i="2" s="1"/>
  <c r="H319" i="2" s="1"/>
  <c r="B187" i="2"/>
  <c r="D187" i="2" s="1"/>
  <c r="H187" i="2" s="1"/>
  <c r="B44" i="2"/>
  <c r="D44" i="2" s="1"/>
  <c r="H44" i="2" s="1"/>
  <c r="B244" i="2"/>
  <c r="D244" i="2" s="1"/>
  <c r="H244" i="2" s="1"/>
  <c r="B35" i="2"/>
  <c r="D35" i="2" s="1"/>
  <c r="H35" i="2" s="1"/>
  <c r="B235" i="2"/>
  <c r="D235" i="2" s="1"/>
  <c r="H235" i="2" s="1"/>
  <c r="B150" i="2"/>
  <c r="D150" i="2" s="1"/>
  <c r="H150" i="2" s="1"/>
  <c r="B176" i="2"/>
  <c r="D176" i="2" s="1"/>
  <c r="H176" i="2" s="1"/>
  <c r="B376" i="2"/>
  <c r="D376" i="2" s="1"/>
  <c r="H376" i="2" s="1"/>
  <c r="B167" i="2"/>
  <c r="D167" i="2" s="1"/>
  <c r="H167" i="2" s="1"/>
  <c r="B367" i="2"/>
  <c r="D367" i="2" s="1"/>
  <c r="H367" i="2" s="1"/>
  <c r="B128" i="2"/>
  <c r="D128" i="2" s="1"/>
  <c r="H128" i="2" s="1"/>
  <c r="B328" i="2"/>
  <c r="D328" i="2" s="1"/>
  <c r="H328" i="2" s="1"/>
  <c r="B129" i="2"/>
  <c r="D129" i="2" s="1"/>
  <c r="H129" i="2" s="1"/>
  <c r="B329" i="2"/>
  <c r="D329" i="2" s="1"/>
  <c r="H329" i="2" s="1"/>
  <c r="B54" i="2"/>
  <c r="D54" i="2" s="1"/>
  <c r="H54" i="2" s="1"/>
  <c r="B254" i="2"/>
  <c r="D254" i="2" s="1"/>
  <c r="H254" i="2" s="1"/>
  <c r="B45" i="2"/>
  <c r="D45" i="2" s="1"/>
  <c r="H45" i="2" s="1"/>
  <c r="B245" i="2"/>
  <c r="D245" i="2" s="1"/>
  <c r="H245" i="2" s="1"/>
  <c r="B170" i="2"/>
  <c r="D170" i="2" s="1"/>
  <c r="H170" i="2" s="1"/>
  <c r="B186" i="2"/>
  <c r="D186" i="2" s="1"/>
  <c r="H186" i="2" s="1"/>
  <c r="B386" i="2"/>
  <c r="D386" i="2" s="1"/>
  <c r="H386" i="2" s="1"/>
  <c r="B177" i="2"/>
  <c r="D177" i="2" s="1"/>
  <c r="H177" i="2" s="1"/>
  <c r="B377" i="2"/>
  <c r="D377" i="2" s="1"/>
  <c r="H377" i="2" s="1"/>
  <c r="B138" i="2"/>
  <c r="D138" i="2" s="1"/>
  <c r="H138" i="2" s="1"/>
  <c r="B338" i="2"/>
  <c r="D338" i="2" s="1"/>
  <c r="H338" i="2" s="1"/>
  <c r="B139" i="2"/>
  <c r="D139" i="2" s="1"/>
  <c r="H139" i="2" s="1"/>
  <c r="B339" i="2"/>
  <c r="D339" i="2" s="1"/>
  <c r="H339" i="2" s="1"/>
  <c r="F43" i="2" l="1"/>
  <c r="G43" i="2" s="1"/>
  <c r="F112" i="2"/>
  <c r="G112" i="2" s="1"/>
  <c r="I57" i="2"/>
  <c r="F57" i="2" s="1"/>
  <c r="G57" i="2" s="1"/>
  <c r="I47" i="2"/>
  <c r="F47" i="2" s="1"/>
  <c r="G47" i="2" s="1"/>
  <c r="I214" i="2"/>
  <c r="F214" i="2" s="1"/>
  <c r="G214" i="2" s="1"/>
  <c r="I64" i="2"/>
  <c r="F64" i="2" s="1"/>
  <c r="G64" i="2" s="1"/>
  <c r="I254" i="2"/>
  <c r="F254" i="2" s="1"/>
  <c r="G254" i="2" s="1"/>
  <c r="I127" i="2"/>
  <c r="F127" i="2" s="1"/>
  <c r="G127" i="2" s="1"/>
  <c r="I126" i="2"/>
  <c r="F126" i="2" s="1"/>
  <c r="G126" i="2" s="1"/>
  <c r="I185" i="2"/>
  <c r="F185" i="2" s="1"/>
  <c r="G185" i="2" s="1"/>
  <c r="I145" i="2"/>
  <c r="F145" i="2" s="1"/>
  <c r="G145" i="2" s="1"/>
  <c r="I119" i="2"/>
  <c r="F119" i="2" s="1"/>
  <c r="G119" i="2" s="1"/>
  <c r="I223" i="2"/>
  <c r="F223" i="2" s="1"/>
  <c r="G223" i="2" s="1"/>
  <c r="I240" i="2"/>
  <c r="F240" i="2" s="1"/>
  <c r="G240" i="2" s="1"/>
  <c r="I45" i="2"/>
  <c r="F45" i="2" s="1"/>
  <c r="G45" i="2" s="1"/>
  <c r="I250" i="2"/>
  <c r="F250" i="2" s="1"/>
  <c r="G250" i="2" s="1"/>
  <c r="I33" i="2"/>
  <c r="F33" i="2" s="1"/>
  <c r="G33" i="2" s="1"/>
  <c r="I235" i="2"/>
  <c r="F235" i="2" s="1"/>
  <c r="G235" i="2" s="1"/>
  <c r="I204" i="2"/>
  <c r="F204" i="2" s="1"/>
  <c r="G204" i="2" s="1"/>
  <c r="I132" i="2"/>
  <c r="F132" i="2" s="1"/>
  <c r="G132" i="2" s="1"/>
  <c r="I102" i="2"/>
  <c r="F102" i="2" s="1"/>
  <c r="G102" i="2" s="1"/>
  <c r="I170" i="2"/>
  <c r="F170" i="2" s="1"/>
  <c r="G170" i="2" s="1"/>
  <c r="I107" i="2"/>
  <c r="F107" i="2" s="1"/>
  <c r="G107" i="2" s="1"/>
  <c r="I83" i="2"/>
  <c r="F83" i="2" s="1"/>
  <c r="G83" i="2" s="1"/>
  <c r="I104" i="2"/>
  <c r="F104" i="2" s="1"/>
  <c r="G104" i="2" s="1"/>
  <c r="I86" i="2"/>
  <c r="F86" i="2" s="1"/>
  <c r="G86" i="2" s="1"/>
  <c r="I59" i="2"/>
  <c r="F59" i="2" s="1"/>
  <c r="G59" i="2" s="1"/>
  <c r="I232" i="2"/>
  <c r="F232" i="2" s="1"/>
  <c r="G232" i="2" s="1"/>
  <c r="I196" i="2"/>
  <c r="F196" i="2" s="1"/>
  <c r="G196" i="2" s="1"/>
  <c r="I158" i="2"/>
  <c r="F158" i="2" s="1"/>
  <c r="G158" i="2" s="1"/>
  <c r="I258" i="2"/>
  <c r="I22" i="2"/>
  <c r="F22" i="2" s="1"/>
  <c r="G22" i="2" s="1"/>
  <c r="I20" i="2"/>
  <c r="F20" i="2" s="1"/>
  <c r="G20" i="2" s="1"/>
  <c r="I207" i="2"/>
  <c r="F207" i="2" s="1"/>
  <c r="G207" i="2" s="1"/>
  <c r="I253" i="2"/>
  <c r="F253" i="2" s="1"/>
  <c r="G253" i="2" s="1"/>
  <c r="I260" i="2"/>
  <c r="F260" i="2" s="1"/>
  <c r="G260" i="2" s="1"/>
  <c r="I157" i="2"/>
  <c r="F157" i="2" s="1"/>
  <c r="G157" i="2" s="1"/>
  <c r="I88" i="2"/>
  <c r="F88" i="2" s="1"/>
  <c r="G88" i="2" s="1"/>
  <c r="I249" i="2"/>
  <c r="F249" i="2" s="1"/>
  <c r="G249" i="2" s="1"/>
  <c r="I130" i="2"/>
  <c r="F130" i="2" s="1"/>
  <c r="G130" i="2" s="1"/>
  <c r="I32" i="2"/>
  <c r="F32" i="2" s="1"/>
  <c r="G32" i="2" s="1"/>
  <c r="I103" i="2"/>
  <c r="F103" i="2" s="1"/>
  <c r="G103" i="2" s="1"/>
  <c r="I230" i="2"/>
  <c r="F230" i="2" s="1"/>
  <c r="G230" i="2" s="1"/>
  <c r="I136" i="2"/>
  <c r="F136" i="2" s="1"/>
  <c r="G136" i="2" s="1"/>
  <c r="I49" i="2"/>
  <c r="F49" i="2" s="1"/>
  <c r="G49" i="2" s="1"/>
  <c r="I17" i="2"/>
  <c r="F17" i="2" s="1"/>
  <c r="G17" i="2" s="1"/>
  <c r="I222" i="2"/>
  <c r="F222" i="2" s="1"/>
  <c r="G222" i="2" s="1"/>
  <c r="I100" i="2"/>
  <c r="F100" i="2" s="1"/>
  <c r="G100" i="2" s="1"/>
  <c r="I248" i="2"/>
  <c r="F248" i="2" s="1"/>
  <c r="G248" i="2" s="1"/>
  <c r="I226" i="2"/>
  <c r="F226" i="2" s="1"/>
  <c r="G226" i="2" s="1"/>
  <c r="I109" i="2"/>
  <c r="F109" i="2" s="1"/>
  <c r="G109" i="2" s="1"/>
  <c r="I116" i="2"/>
  <c r="F116" i="2" s="1"/>
  <c r="G116" i="2" s="1"/>
  <c r="I87" i="2"/>
  <c r="F87" i="2" s="1"/>
  <c r="G87" i="2" s="1"/>
  <c r="I26" i="2"/>
  <c r="F26" i="2" s="1"/>
  <c r="G26" i="2" s="1"/>
  <c r="I108" i="2"/>
  <c r="F108" i="2" s="1"/>
  <c r="G108" i="2" s="1"/>
  <c r="I125" i="2"/>
  <c r="F125" i="2" s="1"/>
  <c r="G125" i="2" s="1"/>
  <c r="I6" i="2"/>
  <c r="F6" i="2" s="1"/>
  <c r="G6" i="2" s="1"/>
  <c r="I85" i="2"/>
  <c r="F85" i="2" s="1"/>
  <c r="G85" i="2" s="1"/>
  <c r="I78" i="2"/>
  <c r="F78" i="2" s="1"/>
  <c r="G78" i="2" s="1"/>
  <c r="I186" i="2"/>
  <c r="F186" i="2" s="1"/>
  <c r="G186" i="2" s="1"/>
  <c r="I216" i="2"/>
  <c r="F216" i="2" s="1"/>
  <c r="G216" i="2" s="1"/>
  <c r="I29" i="2"/>
  <c r="F29" i="2" s="1"/>
  <c r="G29" i="2" s="1"/>
  <c r="I117" i="2"/>
  <c r="F117" i="2" s="1"/>
  <c r="G117" i="2" s="1"/>
  <c r="I150" i="2"/>
  <c r="F150" i="2" s="1"/>
  <c r="G150" i="2" s="1"/>
  <c r="I220" i="2"/>
  <c r="F220" i="2" s="1"/>
  <c r="G220" i="2" s="1"/>
  <c r="I80" i="2"/>
  <c r="F80" i="2" s="1"/>
  <c r="G80" i="2" s="1"/>
  <c r="I84" i="2"/>
  <c r="F84" i="2" s="1"/>
  <c r="G84" i="2" s="1"/>
  <c r="I171" i="2"/>
  <c r="F171" i="2" s="1"/>
  <c r="G171" i="2" s="1"/>
  <c r="I76" i="2"/>
  <c r="F76" i="2" s="1"/>
  <c r="G76" i="2" s="1"/>
  <c r="I14" i="2"/>
  <c r="F14" i="2" s="1"/>
  <c r="G14" i="2" s="1"/>
  <c r="I89" i="2"/>
  <c r="F89" i="2" s="1"/>
  <c r="G89" i="2" s="1"/>
  <c r="I79" i="2"/>
  <c r="F79" i="2" s="1"/>
  <c r="G79" i="2" s="1"/>
  <c r="I162" i="2"/>
  <c r="F162" i="2" s="1"/>
  <c r="G162" i="2" s="1"/>
  <c r="I259" i="2"/>
  <c r="F259" i="2" s="1"/>
  <c r="G259" i="2" s="1"/>
  <c r="I50" i="2"/>
  <c r="F50" i="2" s="1"/>
  <c r="G50" i="2" s="1"/>
  <c r="I255" i="2"/>
  <c r="F255" i="2" s="1"/>
  <c r="G255" i="2" s="1"/>
  <c r="I110" i="2"/>
  <c r="F110" i="2" s="1"/>
  <c r="G110" i="2" s="1"/>
  <c r="I63" i="2"/>
  <c r="F63" i="2" s="1"/>
  <c r="G63" i="2" s="1"/>
  <c r="I131" i="2"/>
  <c r="F131" i="2" s="1"/>
  <c r="G131" i="2" s="1"/>
  <c r="I217" i="2"/>
  <c r="F217" i="2" s="1"/>
  <c r="G217" i="2" s="1"/>
  <c r="I161" i="2"/>
  <c r="F161" i="2" s="1"/>
  <c r="G161" i="2" s="1"/>
  <c r="I213" i="2"/>
  <c r="F213" i="2" s="1"/>
  <c r="G213" i="2" s="1"/>
  <c r="I147" i="2"/>
  <c r="F147" i="2" s="1"/>
  <c r="G147" i="2" s="1"/>
  <c r="I244" i="2"/>
  <c r="F244" i="2" s="1"/>
  <c r="G244" i="2" s="1"/>
  <c r="I28" i="2"/>
  <c r="F28" i="2" s="1"/>
  <c r="G28" i="2" s="1"/>
  <c r="I184" i="2"/>
  <c r="F184" i="2" s="1"/>
  <c r="G184" i="2" s="1"/>
  <c r="I194" i="2"/>
  <c r="F194" i="2" s="1"/>
  <c r="G194" i="2" s="1"/>
  <c r="I69" i="2"/>
  <c r="F69" i="2" s="1"/>
  <c r="G69" i="2" s="1"/>
  <c r="I106" i="2"/>
  <c r="F106" i="2" s="1"/>
  <c r="G106" i="2" s="1"/>
  <c r="I239" i="2"/>
  <c r="F239" i="2" s="1"/>
  <c r="G239" i="2" s="1"/>
  <c r="I62" i="2"/>
  <c r="F62" i="2" s="1"/>
  <c r="G62" i="2" s="1"/>
  <c r="I151" i="2"/>
  <c r="F151" i="2" s="1"/>
  <c r="G151" i="2" s="1"/>
  <c r="I252" i="2"/>
  <c r="F252" i="2" s="1"/>
  <c r="G252" i="2" s="1"/>
  <c r="I94" i="2"/>
  <c r="F94" i="2" s="1"/>
  <c r="G94" i="2" s="1"/>
  <c r="I97" i="2"/>
  <c r="F97" i="2" s="1"/>
  <c r="G97" i="2" s="1"/>
  <c r="I156" i="2"/>
  <c r="F156" i="2" s="1"/>
  <c r="G156" i="2" s="1"/>
  <c r="I234" i="2"/>
  <c r="F234" i="2" s="1"/>
  <c r="G234" i="2" s="1"/>
  <c r="I19" i="2"/>
  <c r="F19" i="2" s="1"/>
  <c r="G19" i="2" s="1"/>
  <c r="I39" i="2"/>
  <c r="F39" i="2" s="1"/>
  <c r="G39" i="2" s="1"/>
  <c r="I165" i="2"/>
  <c r="F165" i="2" s="1"/>
  <c r="G165" i="2" s="1"/>
  <c r="I68" i="2"/>
  <c r="F68" i="2" s="1"/>
  <c r="G68" i="2" s="1"/>
  <c r="I96" i="2"/>
  <c r="F96" i="2" s="1"/>
  <c r="G96" i="2" s="1"/>
  <c r="I229" i="2"/>
  <c r="F229" i="2" s="1"/>
  <c r="G229" i="2" s="1"/>
  <c r="I257" i="2"/>
  <c r="I199" i="2"/>
  <c r="F199" i="2" s="1"/>
  <c r="G199" i="2" s="1"/>
  <c r="I25" i="2"/>
  <c r="F25" i="2" s="1"/>
  <c r="G25" i="2" s="1"/>
  <c r="I122" i="2"/>
  <c r="F122" i="2" s="1"/>
  <c r="G122" i="2" s="1"/>
  <c r="I173" i="2"/>
  <c r="F173" i="2" s="1"/>
  <c r="G173" i="2" s="1"/>
  <c r="I72" i="2"/>
  <c r="F72" i="2" s="1"/>
  <c r="G72" i="2" s="1"/>
  <c r="I120" i="2"/>
  <c r="F120" i="2" s="1"/>
  <c r="G120" i="2" s="1"/>
  <c r="I212" i="2"/>
  <c r="F212" i="2" s="1"/>
  <c r="G212" i="2" s="1"/>
  <c r="I66" i="2"/>
  <c r="F66" i="2" s="1"/>
  <c r="G66" i="2" s="1"/>
  <c r="I67" i="2"/>
  <c r="F67" i="2" s="1"/>
  <c r="G67" i="2" s="1"/>
  <c r="I164" i="2"/>
  <c r="F164" i="2" s="1"/>
  <c r="G164" i="2" s="1"/>
  <c r="I48" i="2"/>
  <c r="F48" i="2" s="1"/>
  <c r="G48" i="2" s="1"/>
  <c r="I77" i="2"/>
  <c r="F77" i="2" s="1"/>
  <c r="G77" i="2" s="1"/>
  <c r="I144" i="2"/>
  <c r="F144" i="2" s="1"/>
  <c r="G144" i="2" s="1"/>
  <c r="I209" i="2"/>
  <c r="F209" i="2" s="1"/>
  <c r="G209" i="2" s="1"/>
  <c r="I198" i="2"/>
  <c r="F198" i="2" s="1"/>
  <c r="G198" i="2" s="1"/>
  <c r="I163" i="2"/>
  <c r="F163" i="2" s="1"/>
  <c r="G163" i="2" s="1"/>
  <c r="I182" i="2"/>
  <c r="F182" i="2" s="1"/>
  <c r="G182" i="2" s="1"/>
  <c r="I169" i="2"/>
  <c r="F169" i="2" s="1"/>
  <c r="G169" i="2" s="1"/>
  <c r="I215" i="2"/>
  <c r="F215" i="2" s="1"/>
  <c r="G215" i="2" s="1"/>
  <c r="I211" i="2"/>
  <c r="F211" i="2" s="1"/>
  <c r="G211" i="2" s="1"/>
  <c r="I247" i="2"/>
  <c r="F247" i="2" s="1"/>
  <c r="G247" i="2" s="1"/>
  <c r="I219" i="2"/>
  <c r="F219" i="2" s="1"/>
  <c r="G219" i="2" s="1"/>
  <c r="I238" i="2"/>
  <c r="F238" i="2" s="1"/>
  <c r="G238" i="2" s="1"/>
  <c r="I141" i="2"/>
  <c r="F141" i="2" s="1"/>
  <c r="G141" i="2" s="1"/>
  <c r="I228" i="2"/>
  <c r="F228" i="2" s="1"/>
  <c r="G228" i="2" s="1"/>
  <c r="I92" i="2"/>
  <c r="F92" i="2" s="1"/>
  <c r="G92" i="2" s="1"/>
  <c r="I256" i="2"/>
  <c r="F256" i="2" s="1"/>
  <c r="G256" i="2" s="1"/>
  <c r="I180" i="2"/>
  <c r="F180" i="2" s="1"/>
  <c r="G180" i="2" s="1"/>
  <c r="I121" i="2"/>
  <c r="F121" i="2" s="1"/>
  <c r="G121" i="2" s="1"/>
  <c r="I177" i="2"/>
  <c r="F177" i="2" s="1"/>
  <c r="G177" i="2" s="1"/>
  <c r="I70" i="2"/>
  <c r="F70" i="2" s="1"/>
  <c r="G70" i="2" s="1"/>
  <c r="I93" i="2"/>
  <c r="F93" i="2" s="1"/>
  <c r="G93" i="2" s="1"/>
  <c r="I18" i="2"/>
  <c r="F18" i="2" s="1"/>
  <c r="G18" i="2" s="1"/>
  <c r="I224" i="2"/>
  <c r="F224" i="2" s="1"/>
  <c r="G224" i="2" s="1"/>
  <c r="I192" i="2"/>
  <c r="F192" i="2" s="1"/>
  <c r="G192" i="2" s="1"/>
  <c r="I153" i="2"/>
  <c r="F153" i="2" s="1"/>
  <c r="G153" i="2" s="1"/>
  <c r="I208" i="2"/>
  <c r="F208" i="2" s="1"/>
  <c r="G208" i="2" s="1"/>
  <c r="I135" i="2"/>
  <c r="F135" i="2" s="1"/>
  <c r="G135" i="2" s="1"/>
  <c r="I12" i="2"/>
  <c r="F12" i="2" s="1"/>
  <c r="G12" i="2" s="1"/>
  <c r="I56" i="2"/>
  <c r="F56" i="2" s="1"/>
  <c r="G56" i="2" s="1"/>
  <c r="I206" i="2"/>
  <c r="F206" i="2" s="1"/>
  <c r="G206" i="2" s="1"/>
  <c r="I133" i="2"/>
  <c r="F133" i="2" s="1"/>
  <c r="G133" i="2" s="1"/>
  <c r="I37" i="2"/>
  <c r="F37" i="2" s="1"/>
  <c r="G37" i="2" s="1"/>
  <c r="I262" i="2"/>
  <c r="F262" i="2" s="1"/>
  <c r="G262" i="2" s="1"/>
  <c r="I71" i="2"/>
  <c r="F71" i="2" s="1"/>
  <c r="G71" i="2" s="1"/>
  <c r="I75" i="2"/>
  <c r="F75" i="2" s="1"/>
  <c r="G75" i="2" s="1"/>
  <c r="I24" i="2"/>
  <c r="F24" i="2" s="1"/>
  <c r="G24" i="2" s="1"/>
  <c r="I190" i="2"/>
  <c r="F190" i="2" s="1"/>
  <c r="G190" i="2" s="1"/>
  <c r="I139" i="2"/>
  <c r="F139" i="2" s="1"/>
  <c r="G139" i="2" s="1"/>
  <c r="I65" i="2"/>
  <c r="F65" i="2" s="1"/>
  <c r="G65" i="2" s="1"/>
  <c r="I218" i="2"/>
  <c r="F218" i="2" s="1"/>
  <c r="G218" i="2" s="1"/>
  <c r="I124" i="2"/>
  <c r="F124" i="2" s="1"/>
  <c r="G124" i="2" s="1"/>
  <c r="I200" i="2"/>
  <c r="F200" i="2" s="1"/>
  <c r="G200" i="2" s="1"/>
  <c r="I91" i="2"/>
  <c r="F91" i="2" s="1"/>
  <c r="G91" i="2" s="1"/>
  <c r="I55" i="2"/>
  <c r="F55" i="2" s="1"/>
  <c r="G55" i="2" s="1"/>
  <c r="I246" i="2"/>
  <c r="F246" i="2" s="1"/>
  <c r="G246" i="2" s="1"/>
  <c r="I189" i="2"/>
  <c r="F189" i="2" s="1"/>
  <c r="G189" i="2" s="1"/>
  <c r="I42" i="2"/>
  <c r="F42" i="2" s="1"/>
  <c r="G42" i="2" s="1"/>
  <c r="I197" i="2"/>
  <c r="F197" i="2" s="1"/>
  <c r="G197" i="2" s="1"/>
  <c r="I195" i="2"/>
  <c r="F195" i="2" s="1"/>
  <c r="G195" i="2" s="1"/>
  <c r="I99" i="2"/>
  <c r="F99" i="2" s="1"/>
  <c r="G99" i="2" s="1"/>
  <c r="I44" i="2"/>
  <c r="F44" i="2" s="1"/>
  <c r="G44" i="2" s="1"/>
  <c r="I187" i="2"/>
  <c r="F187" i="2" s="1"/>
  <c r="G187" i="2" s="1"/>
  <c r="I134" i="2"/>
  <c r="F134" i="2" s="1"/>
  <c r="G134" i="2" s="1"/>
  <c r="I149" i="2"/>
  <c r="F149" i="2" s="1"/>
  <c r="G149" i="2" s="1"/>
  <c r="I129" i="2"/>
  <c r="F129" i="2" s="1"/>
  <c r="G129" i="2" s="1"/>
  <c r="I176" i="2"/>
  <c r="F176" i="2" s="1"/>
  <c r="G176" i="2" s="1"/>
  <c r="I138" i="2"/>
  <c r="F138" i="2" s="1"/>
  <c r="G138" i="2" s="1"/>
  <c r="I46" i="2"/>
  <c r="F46" i="2" s="1"/>
  <c r="G46" i="2" s="1"/>
  <c r="I188" i="2"/>
  <c r="F188" i="2" s="1"/>
  <c r="G188" i="2" s="1"/>
  <c r="I242" i="2"/>
  <c r="F242" i="2" s="1"/>
  <c r="G242" i="2" s="1"/>
  <c r="I111" i="2"/>
  <c r="F111" i="2" s="1"/>
  <c r="G111" i="2" s="1"/>
  <c r="I98" i="2"/>
  <c r="F98" i="2" s="1"/>
  <c r="G98" i="2" s="1"/>
  <c r="I34" i="2"/>
  <c r="F34" i="2" s="1"/>
  <c r="G34" i="2" s="1"/>
  <c r="I172" i="2"/>
  <c r="F172" i="2" s="1"/>
  <c r="G172" i="2" s="1"/>
  <c r="I54" i="2"/>
  <c r="F54" i="2" s="1"/>
  <c r="G54" i="2" s="1"/>
  <c r="I261" i="2"/>
  <c r="F261" i="2" s="1"/>
  <c r="G261" i="2" s="1"/>
  <c r="I73" i="2"/>
  <c r="F73" i="2" s="1"/>
  <c r="G73" i="2" s="1"/>
  <c r="I251" i="2"/>
  <c r="F251" i="2" s="1"/>
  <c r="G251" i="2" s="1"/>
  <c r="I105" i="2"/>
  <c r="F105" i="2" s="1"/>
  <c r="G105" i="2" s="1"/>
  <c r="I160" i="2"/>
  <c r="F160" i="2" s="1"/>
  <c r="G160" i="2" s="1"/>
  <c r="I241" i="2"/>
  <c r="F241" i="2" s="1"/>
  <c r="G241" i="2" s="1"/>
  <c r="I167" i="2"/>
  <c r="F167" i="2" s="1"/>
  <c r="G167" i="2" s="1"/>
  <c r="I237" i="2"/>
  <c r="F237" i="2" s="1"/>
  <c r="G237" i="2" s="1"/>
  <c r="I175" i="2"/>
  <c r="F175" i="2" s="1"/>
  <c r="G175" i="2" s="1"/>
  <c r="I137" i="2"/>
  <c r="F137" i="2" s="1"/>
  <c r="G137" i="2" s="1"/>
  <c r="I82" i="2"/>
  <c r="F82" i="2" s="1"/>
  <c r="G82" i="2" s="1"/>
  <c r="I115" i="2"/>
  <c r="F115" i="2" s="1"/>
  <c r="G115" i="2" s="1"/>
  <c r="I166" i="2"/>
  <c r="F166" i="2" s="1"/>
  <c r="G166" i="2" s="1"/>
  <c r="I225" i="2"/>
  <c r="F225" i="2" s="1"/>
  <c r="G225" i="2" s="1"/>
  <c r="I201" i="2"/>
  <c r="F201" i="2" s="1"/>
  <c r="G201" i="2" s="1"/>
  <c r="I140" i="2"/>
  <c r="F140" i="2" s="1"/>
  <c r="G140" i="2" s="1"/>
  <c r="I114" i="2"/>
  <c r="F114" i="2" s="1"/>
  <c r="G114" i="2" s="1"/>
  <c r="I227" i="2"/>
  <c r="F227" i="2" s="1"/>
  <c r="G227" i="2" s="1"/>
  <c r="I113" i="2"/>
  <c r="F113" i="2" s="1"/>
  <c r="G113" i="2" s="1"/>
  <c r="I181" i="2"/>
  <c r="F181" i="2" s="1"/>
  <c r="G181" i="2" s="1"/>
  <c r="I174" i="2"/>
  <c r="F174" i="2" s="1"/>
  <c r="G174" i="2" s="1"/>
  <c r="I146" i="2"/>
  <c r="F146" i="2" s="1"/>
  <c r="G146" i="2" s="1"/>
  <c r="I233" i="2"/>
  <c r="F233" i="2" s="1"/>
  <c r="G233" i="2" s="1"/>
  <c r="I243" i="2"/>
  <c r="F243" i="2" s="1"/>
  <c r="G243" i="2" s="1"/>
  <c r="I159" i="2"/>
  <c r="F159" i="2" s="1"/>
  <c r="G159" i="2" s="1"/>
  <c r="I41" i="2"/>
  <c r="F41" i="2" s="1"/>
  <c r="G41" i="2" s="1"/>
  <c r="I202" i="2"/>
  <c r="F202" i="2" s="1"/>
  <c r="G202" i="2" s="1"/>
  <c r="I21" i="2"/>
  <c r="F21" i="2" s="1"/>
  <c r="G21" i="2" s="1"/>
  <c r="I81" i="2"/>
  <c r="F81" i="2" s="1"/>
  <c r="G81" i="2" s="1"/>
  <c r="I40" i="2"/>
  <c r="F40" i="2" s="1"/>
  <c r="G40" i="2" s="1"/>
  <c r="I27" i="2"/>
  <c r="F27" i="2" s="1"/>
  <c r="G27" i="2" s="1"/>
  <c r="I60" i="2"/>
  <c r="F60" i="2" s="1"/>
  <c r="G60" i="2" s="1"/>
  <c r="I30" i="2"/>
  <c r="F30" i="2" s="1"/>
  <c r="G30" i="2" s="1"/>
  <c r="I155" i="2"/>
  <c r="F155" i="2" s="1"/>
  <c r="G155" i="2" s="1"/>
  <c r="I90" i="2"/>
  <c r="F90" i="2" s="1"/>
  <c r="G90" i="2" s="1"/>
  <c r="I193" i="2"/>
  <c r="F193" i="2" s="1"/>
  <c r="G193" i="2" s="1"/>
  <c r="I123" i="2"/>
  <c r="F123" i="2" s="1"/>
  <c r="G123" i="2" s="1"/>
  <c r="I148" i="2"/>
  <c r="F148" i="2" s="1"/>
  <c r="G148" i="2" s="1"/>
  <c r="I210" i="2"/>
  <c r="F210" i="2" s="1"/>
  <c r="G210" i="2" s="1"/>
  <c r="I203" i="2"/>
  <c r="F203" i="2" s="1"/>
  <c r="G203" i="2" s="1"/>
  <c r="I183" i="2"/>
  <c r="F183" i="2" s="1"/>
  <c r="G183" i="2" s="1"/>
  <c r="I31" i="2"/>
  <c r="F31" i="2" s="1"/>
  <c r="G31" i="2" s="1"/>
  <c r="I221" i="2"/>
  <c r="F221" i="2" s="1"/>
  <c r="G221" i="2" s="1"/>
  <c r="I236" i="2"/>
  <c r="F236" i="2" s="1"/>
  <c r="G236" i="2" s="1"/>
  <c r="I191" i="2"/>
  <c r="F191" i="2" s="1"/>
  <c r="G191" i="2" s="1"/>
  <c r="I51" i="2"/>
  <c r="F51" i="2" s="1"/>
  <c r="G51" i="2" s="1"/>
  <c r="I58" i="2"/>
  <c r="F58" i="2" s="1"/>
  <c r="G58" i="2" s="1"/>
  <c r="I38" i="2"/>
  <c r="F38" i="2" s="1"/>
  <c r="G38" i="2" s="1"/>
  <c r="I205" i="2"/>
  <c r="F205" i="2" s="1"/>
  <c r="G205" i="2" s="1"/>
  <c r="I101" i="2"/>
  <c r="F101" i="2" s="1"/>
  <c r="G101" i="2" s="1"/>
  <c r="I152" i="2"/>
  <c r="F152" i="2" s="1"/>
  <c r="G152" i="2" s="1"/>
  <c r="I245" i="2"/>
  <c r="F245" i="2" s="1"/>
  <c r="G245" i="2" s="1"/>
  <c r="I61" i="2"/>
  <c r="F61" i="2" s="1"/>
  <c r="G61" i="2" s="1"/>
  <c r="I23" i="2"/>
  <c r="F23" i="2" s="1"/>
  <c r="G23" i="2" s="1"/>
  <c r="I11" i="2"/>
  <c r="F11" i="2" s="1"/>
  <c r="G11" i="2" s="1"/>
  <c r="I231" i="2"/>
  <c r="F231" i="2" s="1"/>
  <c r="G231" i="2" s="1"/>
  <c r="I168" i="2"/>
  <c r="F168" i="2" s="1"/>
  <c r="G168" i="2" s="1"/>
  <c r="I36" i="2"/>
  <c r="F36" i="2" s="1"/>
  <c r="G36" i="2" s="1"/>
  <c r="I179" i="2"/>
  <c r="F179" i="2" s="1"/>
  <c r="G179" i="2" s="1"/>
  <c r="I128" i="2"/>
  <c r="F128" i="2" s="1"/>
  <c r="G128" i="2" s="1"/>
  <c r="I74" i="2"/>
  <c r="F74" i="2" s="1"/>
  <c r="G74" i="2" s="1"/>
  <c r="I154" i="2"/>
  <c r="F154" i="2" s="1"/>
  <c r="G154" i="2" s="1"/>
  <c r="I5" i="2"/>
  <c r="F5" i="2" s="1"/>
  <c r="G5" i="2" s="1"/>
  <c r="I142" i="2"/>
  <c r="F142" i="2" s="1"/>
  <c r="G142" i="2" s="1"/>
  <c r="I52" i="2"/>
  <c r="F52" i="2" s="1"/>
  <c r="G52" i="2" s="1"/>
  <c r="I35" i="2"/>
  <c r="F35" i="2" s="1"/>
  <c r="G35" i="2" s="1"/>
  <c r="I143" i="2"/>
  <c r="F143" i="2" s="1"/>
  <c r="G143" i="2" s="1"/>
  <c r="I53" i="2"/>
  <c r="F53" i="2" s="1"/>
  <c r="G53" i="2" s="1"/>
  <c r="I13" i="2"/>
  <c r="F13" i="2" s="1"/>
  <c r="G13" i="2" s="1"/>
  <c r="I8" i="2"/>
  <c r="F8" i="2" s="1"/>
  <c r="G8" i="2" s="1"/>
  <c r="I7" i="2"/>
  <c r="F7" i="2" s="1"/>
  <c r="G7" i="2" s="1"/>
  <c r="I95" i="2"/>
  <c r="F95" i="2" s="1"/>
  <c r="G95" i="2" s="1"/>
  <c r="I178" i="2"/>
  <c r="F178" i="2" s="1"/>
  <c r="G178" i="2" s="1"/>
  <c r="I118" i="2"/>
  <c r="F118" i="2" s="1"/>
  <c r="G118" i="2" s="1"/>
  <c r="D9" i="1"/>
  <c r="D15" i="2"/>
  <c r="C23" i="1"/>
  <c r="D11" i="1"/>
  <c r="C36" i="1"/>
  <c r="D13" i="1"/>
  <c r="D16" i="1"/>
  <c r="D26" i="1"/>
  <c r="D6" i="1"/>
  <c r="D5" i="1"/>
  <c r="D14" i="1"/>
  <c r="D8" i="1"/>
  <c r="D33" i="1"/>
  <c r="C30" i="1"/>
  <c r="C10" i="1"/>
  <c r="D22" i="1"/>
  <c r="C29" i="1"/>
  <c r="C33" i="1"/>
  <c r="D24" i="1"/>
  <c r="D32" i="1"/>
  <c r="C17" i="1"/>
  <c r="C26" i="1"/>
  <c r="C14" i="1"/>
  <c r="C31" i="1"/>
  <c r="C13" i="1"/>
  <c r="C28" i="1"/>
  <c r="C25" i="1"/>
  <c r="C20" i="1"/>
  <c r="D10" i="1"/>
  <c r="C24" i="1"/>
  <c r="D4" i="2"/>
  <c r="D31" i="1"/>
  <c r="D21" i="1"/>
  <c r="D35" i="1"/>
  <c r="D29" i="1"/>
  <c r="C6" i="1"/>
  <c r="G34" i="1"/>
  <c r="C21" i="1"/>
  <c r="C19" i="1"/>
  <c r="D36" i="1"/>
  <c r="D19" i="1"/>
  <c r="D12" i="1"/>
  <c r="D30" i="1"/>
  <c r="D7" i="1"/>
  <c r="C9" i="1"/>
  <c r="C16" i="1"/>
  <c r="D27" i="1"/>
  <c r="C35" i="1"/>
  <c r="D18" i="1"/>
  <c r="C32" i="1"/>
  <c r="D25" i="1"/>
  <c r="C27" i="1"/>
  <c r="D28" i="1"/>
  <c r="C18" i="1"/>
  <c r="C22" i="1"/>
  <c r="D20" i="1"/>
  <c r="C11" i="1"/>
  <c r="D34" i="1"/>
  <c r="C15" i="1"/>
  <c r="C5" i="1"/>
  <c r="E34" i="1"/>
  <c r="D23" i="1"/>
  <c r="C12" i="1"/>
  <c r="D15" i="1"/>
  <c r="D17" i="1"/>
  <c r="C8" i="1"/>
  <c r="C7" i="1"/>
  <c r="D10" i="2"/>
  <c r="D16" i="2"/>
  <c r="C34" i="1"/>
  <c r="D9" i="2"/>
  <c r="E9" i="1" l="1"/>
  <c r="G23" i="1"/>
  <c r="E23" i="1"/>
  <c r="G35" i="1"/>
  <c r="E35" i="1"/>
  <c r="G30" i="1"/>
  <c r="G24" i="1"/>
  <c r="G18" i="1"/>
  <c r="G17" i="1"/>
  <c r="G32" i="1"/>
  <c r="G13" i="1"/>
  <c r="G25" i="1"/>
  <c r="G29" i="1"/>
  <c r="G9" i="1"/>
  <c r="G15" i="1"/>
  <c r="E15" i="1"/>
  <c r="G28" i="1"/>
  <c r="G8" i="1"/>
  <c r="E32" i="1"/>
  <c r="G19" i="1"/>
  <c r="E17" i="1"/>
  <c r="G31" i="1"/>
  <c r="G14" i="1"/>
  <c r="G26" i="1"/>
  <c r="G10" i="1"/>
  <c r="G27" i="1"/>
  <c r="E14" i="1"/>
  <c r="E36" i="1"/>
  <c r="E30" i="1"/>
  <c r="G16" i="1"/>
  <c r="E31" i="1"/>
  <c r="G6" i="1"/>
  <c r="E8" i="1"/>
  <c r="G22" i="1"/>
  <c r="E19" i="1"/>
  <c r="G21" i="1"/>
  <c r="G11" i="1"/>
  <c r="E27" i="1"/>
  <c r="E10" i="1"/>
  <c r="G12" i="1"/>
  <c r="E18" i="1"/>
  <c r="E24" i="1"/>
  <c r="E13" i="1"/>
  <c r="E33" i="1"/>
  <c r="E6" i="1"/>
  <c r="E28" i="1"/>
  <c r="E20" i="1"/>
  <c r="G20" i="1"/>
  <c r="E25" i="1"/>
  <c r="G33" i="1"/>
  <c r="E11" i="1"/>
  <c r="E29" i="1"/>
  <c r="G7" i="1"/>
  <c r="E7" i="1"/>
  <c r="E21" i="1"/>
  <c r="E16" i="1"/>
  <c r="G36" i="1"/>
  <c r="H15" i="2"/>
  <c r="F15" i="2" s="1"/>
  <c r="G15" i="2" s="1"/>
  <c r="H9" i="2"/>
  <c r="F9" i="2" s="1"/>
  <c r="G9" i="2" s="1"/>
  <c r="H4" i="2"/>
  <c r="F4" i="2" s="1"/>
  <c r="G4" i="2" s="1"/>
  <c r="H16" i="2"/>
  <c r="F16" i="2" s="1"/>
  <c r="G16" i="2" s="1"/>
  <c r="H10" i="2"/>
  <c r="F10" i="2" s="1"/>
  <c r="G10" i="2" s="1"/>
  <c r="E22" i="1"/>
  <c r="E26" i="1"/>
  <c r="E12" i="1"/>
  <c r="C37" i="1"/>
  <c r="D37" i="1"/>
  <c r="F22" i="1" l="1" a="1"/>
  <c r="F22" i="1" s="1"/>
  <c r="E5" i="1"/>
  <c r="E37" i="1" s="1"/>
  <c r="F21" i="1" a="1"/>
  <c r="F21" i="1" s="1"/>
  <c r="F32" i="1" a="1"/>
  <c r="F32" i="1" s="1"/>
  <c r="F13" i="1" a="1"/>
  <c r="F13" i="1" s="1"/>
  <c r="F30" i="1" a="1"/>
  <c r="F30" i="1" s="1"/>
  <c r="F27" i="1" a="1"/>
  <c r="F27" i="1" s="1"/>
  <c r="F31" i="1" a="1"/>
  <c r="F31" i="1" s="1"/>
  <c r="F17" i="1" a="1"/>
  <c r="F17" i="1" s="1"/>
  <c r="F23" i="1" a="1"/>
  <c r="F23" i="1" s="1"/>
  <c r="F11" i="1" a="1"/>
  <c r="F11" i="1" s="1"/>
  <c r="F20" i="1" a="1"/>
  <c r="F20" i="1" s="1"/>
  <c r="F34" i="1" a="1"/>
  <c r="F34" i="1" s="1"/>
  <c r="F12" i="1" a="1"/>
  <c r="F12" i="1" s="1"/>
  <c r="F7" i="1" a="1"/>
  <c r="F7" i="1" s="1"/>
  <c r="F24" i="1" a="1"/>
  <c r="F24" i="1" s="1"/>
  <c r="F8" i="1" a="1"/>
  <c r="F8" i="1" s="1"/>
  <c r="F18" i="1" a="1"/>
  <c r="F18" i="1" s="1"/>
  <c r="F10" i="1" a="1"/>
  <c r="F10" i="1" s="1"/>
  <c r="F36" i="1" a="1"/>
  <c r="F36" i="1" s="1"/>
  <c r="F6" i="1" a="1"/>
  <c r="F6" i="1" s="1"/>
  <c r="F26" i="1" a="1"/>
  <c r="F26" i="1" s="1"/>
  <c r="F33" i="1" a="1"/>
  <c r="F33" i="1" s="1"/>
  <c r="G5" i="1"/>
  <c r="G37" i="1" s="1"/>
  <c r="F25" i="1" a="1"/>
  <c r="F25" i="1" s="1"/>
  <c r="F28" i="1" a="1"/>
  <c r="F28" i="1" s="1"/>
  <c r="F14" i="1" a="1"/>
  <c r="F14" i="1" s="1"/>
  <c r="F15" i="1" a="1"/>
  <c r="F15" i="1" s="1"/>
  <c r="F9" i="1" a="1"/>
  <c r="F9" i="1" s="1"/>
  <c r="F5" i="1" a="1"/>
  <c r="F5" i="1" s="1"/>
  <c r="F35" i="1" a="1"/>
  <c r="F35" i="1" s="1"/>
  <c r="F29" i="1" a="1"/>
  <c r="F29" i="1" s="1"/>
  <c r="F19" i="1" a="1"/>
  <c r="F19" i="1" s="1"/>
  <c r="F16" i="1" a="1"/>
  <c r="F16" i="1" s="1"/>
  <c r="F3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<sst xmlns="http://schemas.openxmlformats.org/spreadsheetml/2006/main" count="476" uniqueCount="336">
  <si>
    <t>Group</t>
  </si>
  <si>
    <t>Exch</t>
  </si>
  <si>
    <t>ER3</t>
  </si>
  <si>
    <t>ICE_L</t>
  </si>
  <si>
    <t>I</t>
  </si>
  <si>
    <t>I|ER3</t>
  </si>
  <si>
    <t>MPC</t>
  </si>
  <si>
    <t>R</t>
  </si>
  <si>
    <t>SA3</t>
  </si>
  <si>
    <t>SO3</t>
  </si>
  <si>
    <t>FBTP</t>
  </si>
  <si>
    <t>Eurex</t>
  </si>
  <si>
    <t>FBTS</t>
  </si>
  <si>
    <t>FGBL</t>
  </si>
  <si>
    <t>FGBM</t>
  </si>
  <si>
    <t>FGBS</t>
  </si>
  <si>
    <t>FGBX</t>
  </si>
  <si>
    <t>FOAT</t>
  </si>
  <si>
    <t>FVS</t>
  </si>
  <si>
    <t>SR1</t>
  </si>
  <si>
    <t>CME</t>
  </si>
  <si>
    <t>SR1|ZQ</t>
  </si>
  <si>
    <t>SR3</t>
  </si>
  <si>
    <t>TN</t>
  </si>
  <si>
    <t>TWE</t>
  </si>
  <si>
    <t>UB</t>
  </si>
  <si>
    <t>US</t>
  </si>
  <si>
    <t>Z3N</t>
  </si>
  <si>
    <t>ZF</t>
  </si>
  <si>
    <t>ZN</t>
  </si>
  <si>
    <t>ZQ</t>
  </si>
  <si>
    <t>ZT</t>
  </si>
  <si>
    <t>VX</t>
  </si>
  <si>
    <t>CFE</t>
  </si>
  <si>
    <t>IR</t>
  </si>
  <si>
    <t>ASX</t>
  </si>
  <si>
    <t>VT</t>
  </si>
  <si>
    <t>XT</t>
  </si>
  <si>
    <t>YT</t>
  </si>
  <si>
    <t>Teams Alerts – live position feed (rtd_data)</t>
  </si>
  <si>
    <t>Feed status:</t>
  </si>
  <si>
    <t>Product</t>
  </si>
  <si>
    <t>Type</t>
  </si>
  <si>
    <t>Watch</t>
  </si>
  <si>
    <t>Inst</t>
  </si>
  <si>
    <t>net_position</t>
  </si>
  <si>
    <t>Y</t>
  </si>
  <si>
    <t>Products by group</t>
  </si>
  <si>
    <t>Live counts from rtd_data. Watch = N rows are not subscribed and never alert.</t>
  </si>
  <si>
    <t>Products</t>
  </si>
  <si>
    <t>Watched</t>
  </si>
  <si>
    <t>Inst not found</t>
  </si>
  <si>
    <t>Open positions</t>
  </si>
  <si>
    <t>Net position</t>
  </si>
  <si>
    <t>Total</t>
  </si>
  <si>
    <t>AUG26</t>
  </si>
  <si>
    <t>SEP26</t>
  </si>
  <si>
    <t>OCT26</t>
  </si>
  <si>
    <t>NOV26</t>
  </si>
  <si>
    <t>DEC26</t>
  </si>
  <si>
    <t>JAN27</t>
  </si>
  <si>
    <t>FEB27</t>
  </si>
  <si>
    <t>MAR27</t>
  </si>
  <si>
    <t>APR27</t>
  </si>
  <si>
    <t>MAY27</t>
  </si>
  <si>
    <t>JUN27</t>
  </si>
  <si>
    <t>JUL27</t>
  </si>
  <si>
    <t>AUG27</t>
  </si>
  <si>
    <t>SEP27</t>
  </si>
  <si>
    <t>OCT27</t>
  </si>
  <si>
    <t>NOV27</t>
  </si>
  <si>
    <t>DEC27</t>
  </si>
  <si>
    <t>JAN28</t>
  </si>
  <si>
    <t>FEB28</t>
  </si>
  <si>
    <t>MAR28</t>
  </si>
  <si>
    <t>APR28</t>
  </si>
  <si>
    <t>MAY28</t>
  </si>
  <si>
    <t>JUN28</t>
  </si>
  <si>
    <t>JUL28</t>
  </si>
  <si>
    <t>AUG28</t>
  </si>
  <si>
    <t>SEP28</t>
  </si>
  <si>
    <t>OCT28</t>
  </si>
  <si>
    <t>NOV28</t>
  </si>
  <si>
    <t>DEC28</t>
  </si>
  <si>
    <t>JAN29</t>
  </si>
  <si>
    <t>FEB29</t>
  </si>
  <si>
    <t>MAR29</t>
  </si>
  <si>
    <t>APR29</t>
  </si>
  <si>
    <t>MAY29</t>
  </si>
  <si>
    <t>JUN29</t>
  </si>
  <si>
    <t>JUL29</t>
  </si>
  <si>
    <t>AUG29</t>
  </si>
  <si>
    <t>SEP29</t>
  </si>
  <si>
    <t>OCT29</t>
  </si>
  <si>
    <t>NOV29</t>
  </si>
  <si>
    <t>DEC29</t>
  </si>
  <si>
    <t>JAN30</t>
  </si>
  <si>
    <t>FEB30</t>
  </si>
  <si>
    <t>MAR30</t>
  </si>
  <si>
    <t>APR30</t>
  </si>
  <si>
    <t>MAY30</t>
  </si>
  <si>
    <t>JUN30</t>
  </si>
  <si>
    <t>JUL30</t>
  </si>
  <si>
    <t>AUG30</t>
  </si>
  <si>
    <t>SEP30</t>
  </si>
  <si>
    <t>OCT30</t>
  </si>
  <si>
    <t>NOV30</t>
  </si>
  <si>
    <t>DEC30</t>
  </si>
  <si>
    <t>JAN31</t>
  </si>
  <si>
    <t>FEB31</t>
  </si>
  <si>
    <t>MAR31</t>
  </si>
  <si>
    <t>APR31</t>
  </si>
  <si>
    <t>MAY31</t>
  </si>
  <si>
    <t>JUN31</t>
  </si>
  <si>
    <t>JUL31</t>
  </si>
  <si>
    <t>AUG31</t>
  </si>
  <si>
    <t>SEP31</t>
  </si>
  <si>
    <t>OCT31</t>
  </si>
  <si>
    <t>NOV31</t>
  </si>
  <si>
    <t>DEC31</t>
  </si>
  <si>
    <t>JAN32</t>
  </si>
  <si>
    <t>FEB32</t>
  </si>
  <si>
    <t>MAR32</t>
  </si>
  <si>
    <t>APR32</t>
  </si>
  <si>
    <t>MAY32</t>
  </si>
  <si>
    <t>JUN32</t>
  </si>
  <si>
    <t>JUL32</t>
  </si>
  <si>
    <t>AUG32</t>
  </si>
  <si>
    <t>SEP32</t>
  </si>
  <si>
    <t>OCT32</t>
  </si>
  <si>
    <t>NOV32</t>
  </si>
  <si>
    <t>DEC32</t>
  </si>
  <si>
    <t>JAN33</t>
  </si>
  <si>
    <t>FEB33</t>
  </si>
  <si>
    <t>MAR33</t>
  </si>
  <si>
    <t>APR33</t>
  </si>
  <si>
    <t>MAY33</t>
  </si>
  <si>
    <t>JUN33</t>
  </si>
  <si>
    <t>JUL33</t>
  </si>
  <si>
    <t>AUG33</t>
  </si>
  <si>
    <t>SEP33</t>
  </si>
  <si>
    <t>OCT33</t>
  </si>
  <si>
    <t>NOV33</t>
  </si>
  <si>
    <t>DEC33</t>
  </si>
  <si>
    <t>JAN34</t>
  </si>
  <si>
    <t>FEB34</t>
  </si>
  <si>
    <t>MAR34</t>
  </si>
  <si>
    <t>APR34</t>
  </si>
  <si>
    <t>IMM list</t>
  </si>
  <si>
    <t>num_contract</t>
  </si>
  <si>
    <t>Serial+Quarterly</t>
  </si>
  <si>
    <t>Quarterly</t>
  </si>
  <si>
    <t>Serial</t>
  </si>
  <si>
    <t>N</t>
  </si>
  <si>
    <t>Contract list (built from exch_map)</t>
  </si>
  <si>
    <t>Start month</t>
  </si>
  <si>
    <t>Serial months (Serial+Quarterly)</t>
  </si>
  <si>
    <t>Contracts listed</t>
  </si>
  <si>
    <t>Rows:</t>
  </si>
  <si>
    <t>Teams Alerts settings</t>
  </si>
  <si>
    <t>Teams webhook URL</t>
  </si>
  <si>
    <t>Recipient email (optional)</t>
  </si>
  <si>
    <t>Table name</t>
  </si>
  <si>
    <t>rtd_data</t>
  </si>
  <si>
    <t>Column to watch</t>
  </si>
  <si>
    <t>Row label column</t>
  </si>
  <si>
    <t>Batch seconds</t>
  </si>
  <si>
    <t>Minimum change</t>
  </si>
  <si>
    <t>Position changed</t>
  </si>
  <si>
    <t>Yellow cell = paste your own URL. Settings are pushed to the add-in when you click Start / Send test.</t>
  </si>
  <si>
    <t>How to use this workbook – Teams fill alerts</t>
  </si>
  <si>
    <t>FIRST TIME (each person)</t>
  </si>
  <si>
    <t>1. Save this file to your own folder. Right-click it &gt; Properties &gt; tick Unblock &gt; OK. Open it and click Enable Content (macros).</t>
  </si>
  <si>
    <t>2. Make sure the RTD feed (ngmd.rtdserver) is running and logged in on your PC. data!C2 should say the feed is pushing.</t>
  </si>
  <si>
    <t>3. Create your own Teams workflow (README section 4): Option A 'Send webhook alerts to a channel', or Option B personal chat. Copy the webhook link.</t>
  </si>
  <si>
    <t>4. On exch_map, paste YOUR webhook link into J2 (yellow). Leave J3 (Recipient email) blank unless the desk uses one shared workflow - then enter YOUR own email.</t>
  </si>
  <si>
    <t xml:space="preserve">   Leave J4:J9 as they are: rtd_data / net_position / Product / 10 / 0 / Position changed.</t>
  </si>
  <si>
    <t>6. On Summary click Send test. When the card arrives in Teams, click Start alerts. Use Stop alerts to pause.</t>
  </si>
  <si>
    <t>CHOOSING WHAT TO WATCH (exch_map table)</t>
  </si>
  <si>
    <t>- Watch Y/N per group. N = not subscribed, no alerts.</t>
  </si>
  <si>
    <t>- num_contract = how many contracts; Type = Serial / Quarterly / Serial+Quarterly (4 serial months + num_contract quarterlies).</t>
  </si>
  <si>
    <t>- The contracts sheet builds the list from the current month and rolls forward by itself. data!rtd_data reads from it - no typing products.</t>
  </si>
  <si>
    <t>- To add a product group, add a row to the exch_map table (Group, Exch, num_contract, Watch, Type).</t>
  </si>
  <si>
    <t>- rtd_data has 400 rows; data!F2 warns if the list outgrows it (extend the table and the formulas copy down).</t>
  </si>
  <si>
    <t>GOOD TO KNOW</t>
  </si>
  <si>
    <t>- Excel and this workbook must stay open with the feed running. Nothing is sent while Excel is closed.</t>
  </si>
  <si>
    <t>- For ~30 s after Start, positions are learned quietly (no alerts). Status bar shows e.g. 'Teams alerts: sent 1 change(s) at ...'.</t>
  </si>
  <si>
    <t>- net_position shows blank (not 0) when the feed has no number, so a feed glitch never looks like a position going flat.</t>
  </si>
  <si>
    <t>- After a monthly roll, an expiring contract with a position may show as '(removed)' and a new one as '(new)'.</t>
  </si>
  <si>
    <t>- Keep your webhook link private: anyone with it can post to your chat. Position data is sensitive - send only to approved chats/channels.</t>
  </si>
  <si>
    <t>- If Send test fails in the office: check the link in J2; the code uses Windows proxy settings.</t>
  </si>
  <si>
    <t>5. This workbook is standalone (no links to other files). Just make sure no other alert code runs at the same time: don't load TeamsAlerts.xlam, and if an older workbook of yours has TeamsNotifier code, remove it - otherwise every fill alerts twice.</t>
  </si>
  <si>
    <t>TT_Exch</t>
  </si>
  <si>
    <t>TT_Symbol</t>
  </si>
  <si>
    <t>RTD server</t>
  </si>
  <si>
    <t>TT_Expiry</t>
  </si>
  <si>
    <t>RTD SERVER (NG or TT)</t>
  </si>
  <si>
    <t>- After changing J11, give the feed a few seconds; the 30-second quiet start avoids alerts from the switch-over. Click Stop alerts before switching, then Start again.</t>
  </si>
  <si>
    <t>- Pick NG or TT in exch_map!J11. TT users: check the TT_Symbol column in the exch_map table (blue; blank = not looked up on TT). TT exchange = Exch, with ICE_L shown as ICE.</t>
  </si>
  <si>
    <t>TT</t>
  </si>
  <si>
    <t>Fill Alert</t>
  </si>
  <si>
    <t># Excel RTD → Teams Fill Alerts</t>
  </si>
  <si>
    <t>Sends a Microsoft Teams message whenever a futures position changes, straight from Excel.</t>
  </si>
  <si>
    <t>Everything is in one macro-enabled workbook, **TeamAlertFillsNotifier.xlsm**. You don't need an add-in, and nobody needs to edit code.</t>
  </si>
  <si>
    <t>Each Teams card lists every contract that changed in the last few seconds, for example:</t>
  </si>
  <si>
    <t>&gt; **Position changed**</t>
  </si>
  <si>
    <t>&gt; TeamAlertFillsNotifier.xlsm · rtd_data[net_position] · 23-Oct-2026 20:46:46 · 2 change(s)</t>
  </si>
  <si>
    <t>&gt; ER3 SEP28 — 39 → **40**  +1 (+2.56%)</t>
  </si>
  <si>
    <t>&gt; I SEP28 — 318 → **317**  -1 (-0.31%)</t>
  </si>
  <si>
    <t>---</t>
  </si>
  <si>
    <t>## Contents</t>
  </si>
  <si>
    <t>| File | What it is |</t>
  </si>
  <si>
    <t>|---|---|</t>
  </si>
  <si>
    <t>| `TeamAlertFillsNotifier.xlsm` | The workbook. All code is inside it. |</t>
  </si>
  <si>
    <t>| `src/TeamsNotifier.bas` | Alert engine: watches the table, batches changes and posts to Teams |</t>
  </si>
  <si>
    <t>| `src/clsAppEvents.cls` | Excel event hook used by TeamsNotifier |</t>
  </si>
  <si>
    <t>| `src/Module1.bas` | Button macros (`TA_Start`, `TA_Stop`, `TA_Test`) that read the settings from `exch_map` |</t>
  </si>
  <si>
    <t>| `src/frmSettings_code.txt` | Optional settings form (UserForm `frmSettings`) |</t>
  </si>
  <si>
    <t>| `src/ThisWorkbook_code.txt` | Workbook open/close hooks |</t>
  </si>
  <si>
    <t>| `README.md` | This guide |</t>
  </si>
  <si>
    <t>The files in `src/` are copies of the code inside the workbook, kept as text so changes show up in version control.</t>
  </si>
  <si>
    <t>## How the workbook works</t>
  </si>
  <si>
    <t>| Sheet | Purpose |</t>
  </si>
  <si>
    <t>| **Summary** | Count of products, watched products, open positions and net position for each group. It also has the **Start alerts / Stop alerts / Send test** buttons. |</t>
  </si>
  <si>
    <t>| **data** | Table `rtd_data`, with one row per contract: Product, Group, Type, Exch, Watch, Inst, **net_position**, TT_Exch, TT_Symbol, TT_Expiry. C2 shows the feed status. |</t>
  </si>
  <si>
    <t>| **exch_map** | **The only sheet you edit.** It holds the product setup table and the alert settings. |</t>
  </si>
  <si>
    <t>| **contracts** | A single formula that builds the contract list from `exch_map`. You don't edit this sheet. |</t>
  </si>
  <si>
    <t>| **How to use** | A short guide inside the workbook. |</t>
  </si>
  <si>
    <t>### Product setup (table `exch_map`)</t>
  </si>
  <si>
    <t>| Column | Meaning |</t>
  </si>
  <si>
    <t>| Group | Product code, e.g. `ER3`, `SR3`, `FGBL`. Inter-product spreads use `A|B`, e.g. `I|ER3`. |</t>
  </si>
  <si>
    <t>| Exch | NG exchange name, e.g. `ICE_L`, `CME`, `Eurex`, `ASX`, `CFE` |</t>
  </si>
  <si>
    <t>| num_contract | How many contracts to list |</t>
  </si>
  <si>
    <t>| Watch | `Y` = subscribe and alert, `N` = skip. A skipped group gets no RTD call and no alerts. |</t>
  </si>
  <si>
    <t>| Type | `Serial` = the next N months. `Quarterly` = the next N Mar/Jun/Sep/Dec months. `Serial+Quarterly` = the next 4 serial months plus N quarterly months. |</t>
  </si>
  <si>
    <t>| TT_Symbol | Product symbol on TT, used only when the server is TT. Blank means the group isn't looked up on TT. |</t>
  </si>
  <si>
    <t>The contract list starts from the current month and rolls forward by itself.</t>
  </si>
  <si>
    <t>To change the number of serial months, edit `contracts!B3` (default 4). To add a product group, add a row to the table.</t>
  </si>
  <si>
    <t>`data!F2` warns you if the list outgrows the 400-row `rtd_data` table.</t>
  </si>
  <si>
    <t>### Alert settings (`exch_map!I1:J11`)</t>
  </si>
  <si>
    <t>| Cell | Setting | Default |</t>
  </si>
  <si>
    <t>|---|---|---|</t>
  </si>
  <si>
    <t>| J2 | **Teams webhook URL**: each person enters their own | *(blank)* |</t>
  </si>
  <si>
    <t>| J3 | Recipient email. Use this only for a shared desk workflow (section 4). | *(blank)* |</t>
  </si>
  <si>
    <t>| J4 | Table name | `rtd_data` |</t>
  </si>
  <si>
    <t>| J5 | Column to watch | `net_position` |</t>
  </si>
  <si>
    <t>| J6 | Row label column | `Product` |</t>
  </si>
  <si>
    <t>| J7 | Batch seconds | `10` |</t>
  </si>
  <si>
    <t>| J8 | Minimum change (0 = every fill) | `0` |</t>
  </si>
  <si>
    <t>| J9 | Card title | `Position changed` |</t>
  </si>
  <si>
    <t>| J11 | **RTD server**: `NG` or `TT` | `NG` |</t>
  </si>
  <si>
    <t>Clicking **Start alerts** or **Send test**, or opening the workbook, copies these cells into the alert engine, so the sheet always takes priority.</t>
  </si>
  <si>
    <t>### NG or TT RTD server</t>
  </si>
  <si>
    <t>| | NG (`ngmd.rtdserver`) | TT (`tt.rtd`) |</t>
  </si>
  <si>
    <t>| Instrument | `RTD(…,"INSTRUMENT",Exch,Product)` | `RTD("tt.rtd",,"Instr",TT_Exch,TT_Symbol,"FUTURE","Jun27")` |</t>
  </si>
  <si>
    <t>| Position | `RTD(…,"POSITION",Inst,"net_position")` | `RTD("tt.rtd",,Inst,"NetPos")` |</t>
  </si>
  <si>
    <t>| Feed status (data!C2) | Live status | "TT server (no status topic)" |</t>
  </si>
  <si>
    <t>On TT, the exchange name is the same as Exch, except `ICE_L` becomes `ICE`. Check the TT_Symbol values against TT's own names before you rely on them.</t>
  </si>
  <si>
    <t>TT inter-product spreads are not looked up yet.</t>
  </si>
  <si>
    <t>## 1. First-time setup (each person)</t>
  </si>
  <si>
    <t>1. Save the workbook to your own folder. Right-click it, choose **Properties**, tick **Unblock**, then click **OK**.</t>
  </si>
  <si>
    <t>2. Open it and click **Enable Content**. If your firm only allows signed macros, ask IT to sign or approve the file.</t>
  </si>
  <si>
    <t>3. Make sure your RTD server is running and logged in, either **ngmd.rtdserver** or the **TT Excel add-in**.</t>
  </si>
  <si>
    <t xml:space="preserve">   - On NG, `data!C2` should show that the feed is pushing.</t>
  </si>
  <si>
    <t xml:space="preserve">   - On TT, choose **TT** in `exch_map!J11`.</t>
  </si>
  <si>
    <t>4. Create your Teams workflow (section 3) and paste the link into **`exch_map!J2`**.</t>
  </si>
  <si>
    <t>5. On **Summary**, click **Send test**. When the card arrives in Teams, click **Start alerts**.</t>
  </si>
  <si>
    <t>&gt; **Avoid double alerts:** don't load the old `TeamsAlerts.xlam` add-in at the same time. Also remove TeamsNotifier code from any other workbook you have open.</t>
  </si>
  <si>
    <t>### If the RTD cells show text starting with `#=`</t>
  </si>
  <si>
    <t>Formulas sometimes get written into the workbook as text. To turn them back into live formulas:</t>
  </si>
  <si>
    <t>1. Press **Ctrl+H**.</t>
  </si>
  <si>
    <t>2. Set **Find** to `#=` and **Replace with** to `=`.</t>
  </si>
  <si>
    <t>3. Set **Within** to **Workbook**, then click **Replace All**.</t>
  </si>
  <si>
    <t>## 2. Maintainers: code layout inside the workbook</t>
  </si>
  <si>
    <t>Press **Alt+F11**. The VBA project should contain:</t>
  </si>
  <si>
    <t>| Folder | Item | Source |</t>
  </si>
  <si>
    <t>| Microsoft Excel Objects | ThisWorkbook | `src/ThisWorkbook_code.txt` (its `Workbook_Open` calls `TA_PushSettings`) |</t>
  </si>
  <si>
    <t>| Forms | frmSettings | `src/frmSettings_code.txt`. The UserForm's **(Name)** must be `frmSettings`. |</t>
  </si>
  <si>
    <t>| Modules | TeamsNotifier | `src/TeamsNotifier.bas` |</t>
  </si>
  <si>
    <t>| Modules | Module1 | `src/Module1.bas` (`TA_PushSettings`, `TA_Start`, `TA_Stop`, `TA_Test`) |</t>
  </si>
  <si>
    <t>| Class Modules | clsAppEvents | `src/clsAppEvents.cls` |</t>
  </si>
  <si>
    <t>Each Summary button runs one macro. To check, right-click the button and choose **Assign Macro**:</t>
  </si>
  <si>
    <t>| Button | Macro |</t>
  </si>
  <si>
    <t>| Start alerts | `TA_Start` |</t>
  </si>
  <si>
    <t>| Stop alerts | `TA_Stop` |</t>
  </si>
  <si>
    <t>| Send test | `TA_Test` |</t>
  </si>
  <si>
    <t>After you change any code, run **Debug → Compile VBAProject**. Then export the changed modules back into `src/`.</t>
  </si>
  <si>
    <t>## 3. Create your Teams workflow (about 5 minutes)</t>
  </si>
  <si>
    <t>### Option A – alerts to a team channel (easiest)</t>
  </si>
  <si>
    <t>1. In Teams, hover over the channel, click **•••**, then choose **Workflows**.</t>
  </si>
  <si>
    <t>2. Choose **"Send webhook alerts to a channel"**, click **Next**, then click **Add workflow**.</t>
  </si>
  <si>
    <t>3. Click **Copy webhook link** and paste it into `exch_map!J2`.</t>
  </si>
  <si>
    <t>### Option B – alerts just to you (personal chat)</t>
  </si>
  <si>
    <t>The template "Send webhook alerts to a chat" needs **three fixes**. Without them, it posts to your self-chat, which Teams rejects with *"Call made for a thread which is not a ChatThread"*.</t>
  </si>
  <si>
    <t>1. In Teams, open **Apps → Workflows → Create**. Choose **"Send webhook alerts to a chat"** and pick any chat. Click **Add workflow**, then **Copy webhook link**.</t>
  </si>
  <si>
    <t>2. Go to **Workflows → Home**, open the workflow and click **Edit**. Inside **Attachments is null**, expand **2 Cases**.</t>
  </si>
  <si>
    <t>3. Under the **False** branch, open **For each → Post card in a chat or channel** and set these fields:</t>
  </si>
  <si>
    <t xml:space="preserve">   - **Post as:** Flow bot</t>
  </si>
  <si>
    <t xml:space="preserve">   - **Post in:** Chat with Flow bot</t>
  </si>
  <si>
    <t xml:space="preserve">   - **Recipient:** your work email</t>
  </si>
  <si>
    <t xml:space="preserve">   - **Adaptive Card:** click **fx** and enter `items('For_each')?['content']`</t>
  </si>
  <si>
    <t>4. Under the **True** branch, open **Post card in a chat or channel 1**. Set the same fields, but for **Adaptive Card** enter `string(variables('Body'))`.</t>
  </si>
  <si>
    <t>5. Click **Save**. Alerts arrive in a Teams chat called **Workflows**; pin it so it's easy to find.</t>
  </si>
  <si>
    <t>&gt; If `items('For_each')` is rejected, open the **For each** step in Code view and use the name shown there, with underscores in place of spaces.</t>
  </si>
  <si>
    <t>## 4. (Optional) One shared workflow for the whole desk</t>
  </si>
  <si>
    <t>1. Build Option B. In **both** "Post card" steps, set **Recipient** to `triggerBody()?['recipient']`.</t>
  </si>
  <si>
    <t>2. Add one or two co-owners on the workflow page.</t>
  </si>
  <si>
    <t>3. Each colleague puts the shared URL in `exch_map!J2` and **their own email** in `exch_map!J3`.</t>
  </si>
  <si>
    <t>If J3 is left as someone else's email, that person receives the alerts. With your own workflow, J3 is ignored.</t>
  </si>
  <si>
    <t>The workflow owners can also see everyone's messages in its run history, so check with compliance before you choose this.</t>
  </si>
  <si>
    <t>## 5. Sharing the workbook</t>
  </si>
  <si>
    <t>Before you send the file to anyone or commit it:</t>
  </si>
  <si>
    <t>- **Clear `exch_map!J2` (webhook URL) and `J3` (email).** Anyone who has the URL can post to your chat.</t>
  </si>
  <si>
    <t>- **Leave no live positions in the file.** Save it with the feed off, or clear the values first.</t>
  </si>
  <si>
    <t>- **Send only the `.xlsm`.** Colleagues follow section 1; they don't need to import any code.</t>
  </si>
  <si>
    <t>- Settings are stored per Windows user. Each person's clicks copy their own `exch_map` values into the alert engine.</t>
  </si>
  <si>
    <t>## 6. Troubleshooting</t>
  </si>
  <si>
    <t>| Symptom | Fix |</t>
  </si>
  <si>
    <t>| *"Enter your Teams webhook URL first (Teams Alerts &gt; Settings)"* | The button is running the old add-in macro. Right-click the button, choose **Assign Macro**, then pick `TA_Start` or `TA_Test`. Also untick the TeamsAlerts.xlam add-in if it's loaded. |</t>
  </si>
  <si>
    <t>| *"Paste your Teams webhook URL in exch_map!J2 first"* | J2 is empty or doesn't start with `https://`. |</t>
  </si>
  <si>
    <t>| Inst / net_position show `#=…` text | Do the Ctrl+H step in section 1. |</t>
  </si>
  <si>
    <t>| Inst shows "Instrument Not Found" | Check the Group and Exch (NG), or TT_Symbol (TT), in `exch_map`. |</t>
  </si>
  <si>
    <t>| `data!F2` says "TABLE TOO SMALL" | Extend the `rtd_data` table; its formulas copy down automatically. |</t>
  </si>
  <si>
    <t>| "SEND FAILED" | Check the URL. The engine retries every 60 s and keeps the changes until they're sent. |</t>
  </si>
  <si>
    <t>| HTTP 401 / 403 | In the workflow trigger, set **Who can trigger the flow?** to **Anyone**. |</t>
  </si>
  <si>
    <t>| Status says "sent" but nothing arrives in Teams | Open **Workflows → your workflow → Run history** and read the step marked in red. |</t>
  </si>
  <si>
    <t>| Every fill alerts twice | Another copy of TeamsNotifier is running, either the add-in or another workbook. Remove it. |</t>
  </si>
  <si>
    <t>| Alerts stopped after a VBA error | Click **Start alerts** again. |</t>
  </si>
  <si>
    <t>| Compile error on `StopMonitoring` | Change `TA_Stop` in Module1 to the Stop sub name used in TeamsNotifier. |</t>
  </si>
  <si>
    <t>### How it behaves</t>
  </si>
  <si>
    <t>- **Only numeric changes alert.** Blanks, `#N/A` and "loading" text are ignored. net_position shows blank (not 0) when the feed has no number, so a glitch never looks like a position going flat.</t>
  </si>
  <si>
    <t>- **The first 30 seconds after Start are quiet.** Positions are learned without sending alerts.</t>
  </si>
  <si>
    <t>- **New and removed contracts.** A contract with a non-zero position that appears is reported as `(new) → value`. One that disappears, for example after the monthly roll, is reported as `value → (removed)`.</t>
  </si>
  <si>
    <t>- **Switching servers.** Click **Stop alerts** before you switch between NG and TT, then click **Start alerts** again.</t>
  </si>
  <si>
    <t>- **Excel must stay open.** Excel needs to be running with the workbook open and the feed connected. Nothing is sent while Excel is closed.</t>
  </si>
  <si>
    <t>&gt; Position and fill data is sensitive. Send it only to approved chats or channels, and keep the webhook URL private.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</si>
</sst>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(#,##0\);&quot;-&quot;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rgb="FF595959"/>
      <name val="Aptos Narrow"/>
      <family val="2"/>
      <scheme val="minor"/>
    </font>
    <font>
      <b/>
      <sz val="11"/>
      <color rgb="FF1F4E78"/>
      <name val="Aptos Narrow"/>
      <family val="2"/>
      <scheme val="minor"/>
    </font>
    <font>
      <sz val="11"/>
      <color rgb="FF12121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1" fillId="0" borderId="1" xfId="0" applyFont="1" applyBorder="1"/>
    <xf numFmtId="164" fontId="0" fillId="0" borderId="0" xfId="0" applyNumberFormat="1"/>
    <xf numFmtId="164" fontId="1" fillId="0" borderId="1" xfId="0" applyNumberFormat="1" applyFont="1" applyBorder="1"/>
    <xf numFmtId="17" fontId="0" fillId="0" borderId="0" xfId="0" applyNumberFormat="1"/>
    <xf numFmtId="0" fontId="7" fillId="0" borderId="0" xfId="0" applyFont="1"/>
    <xf numFmtId="0" fontId="1" fillId="0" borderId="0" xfId="0" applyFont="1"/>
    <xf numFmtId="0" fontId="2" fillId="3" borderId="0" xfId="0" applyFont="1" applyFill="1"/>
    <xf numFmtId="0" fontId="9" fillId="0" borderId="0" xfId="0" applyFont="1"/>
    <xf numFmtId="0" fontId="3" fillId="2" borderId="2" xfId="0" applyFont="1" applyFill="1" applyBorder="1"/>
    <xf numFmtId="0" fontId="1" fillId="0" borderId="3" xfId="0" applyFont="1" applyBorder="1"/>
    <xf numFmtId="0" fontId="2" fillId="3" borderId="3" xfId="0" applyFont="1" applyFill="1" applyBorder="1"/>
    <xf numFmtId="0" fontId="2" fillId="0" borderId="3" xfId="0" applyFont="1" applyBorder="1"/>
    <xf numFmtId="0" fontId="2" fillId="0" borderId="1" xfId="0" applyFont="1" applyBorder="1"/>
    <xf numFmtId="0" fontId="8" fillId="0" borderId="3" xfId="1" applyBorder="1"/>
    <xf numFmtId="0" fontId="10" fillId="0" borderId="0" xfId="0" applyFont="1"/>
    <xf numFmtId="0" fontId="0" fillId="4" borderId="0" xfId="0" applyFill="1"/>
    <xf numFmtId="0" fontId="11" fillId="0" borderId="0" xfId="0" applyFont="1"/>
  </cellXfs>
  <cellStyles count="2">
    <cellStyle name="Hyperlink" xfId="1" builtinId="8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/>
        <color rgb="FFFFFFFF"/>
      </font>
      <fill>
        <patternFill patternType="solid">
          <fgColor indexed="64"/>
          <bgColor rgb="FF1F4E78"/>
        </patternFill>
      </fill>
    </dxf>
    <dxf>
      <numFmt numFmtId="0" formatCode="General"/>
    </dxf>
    <dxf>
      <font>
        <color rgb="FF000000"/>
      </font>
    </dxf>
    <dxf>
      <font>
        <color rgb="FF000000"/>
      </font>
    </dxf>
    <dxf>
      <font>
        <b/>
        <color rgb="FFFFFFFF"/>
      </font>
      <fill>
        <patternFill patternType="solid">
          <fgColor indexed="64"/>
          <bgColor rgb="FF1F4E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t.rtd">
      <tp t="e">
        <v>#N/A</v>
        <stp/>
        <stp>Instr</stp>
        <stp>ICE</stp>
        <stp>I</stp>
        <stp>FUTURE</stp>
        <stp>Jun29</stp>
        <tr r="F46" s="2"/>
      </tp>
      <tp t="e">
        <v>#N/A</v>
        <stp/>
        <stp>Instr</stp>
        <stp>ICE</stp>
        <stp>I</stp>
        <stp>FUTURE</stp>
        <stp>Jun28</stp>
        <tr r="F42" s="2"/>
      </tp>
      <tp t="e">
        <v>#N/A</v>
        <stp/>
        <stp>Instr</stp>
        <stp>ICE</stp>
        <stp>I</stp>
        <stp>FUTURE</stp>
        <stp>Jan27</stp>
        <tr r="F35" s="2"/>
      </tp>
      <tp t="e">
        <v>#N/A</v>
        <stp/>
        <stp>Instr</stp>
        <stp>ICE</stp>
        <stp>I</stp>
        <stp>FUTURE</stp>
        <stp>Jun27</stp>
        <tr r="F38" s="2"/>
      </tp>
      <tp t="e">
        <v>#N/A</v>
        <stp/>
        <stp>Instr</stp>
        <stp>ICE</stp>
        <stp>I</stp>
        <stp>FUTURE</stp>
        <stp>Jun32</stp>
        <tr r="F58" s="2"/>
      </tp>
      <tp t="e">
        <v>#N/A</v>
        <stp/>
        <stp>Instr</stp>
        <stp>ICE</stp>
        <stp>I</stp>
        <stp>FUTURE</stp>
        <stp>Jun31</stp>
        <tr r="F54" s="2"/>
      </tp>
      <tp t="e">
        <v>#N/A</v>
        <stp/>
        <stp>Instr</stp>
        <stp>ICE</stp>
        <stp>I</stp>
        <stp>FUTURE</stp>
        <stp>Jun30</stp>
        <tr r="F50" s="2"/>
      </tp>
    </main>
    <main first="tt.rtd">
      <tp t="e">
        <v>#N/A</v>
        <stp/>
        <stp>Instr</stp>
        <stp>CME</stp>
        <stp>Z3N</stp>
        <stp>FUTURE</stp>
        <stp>Dec26</stp>
        <tr r="F229" s="2"/>
      </tp>
    </main>
    <main first="tt.rtd">
      <tp t="e">
        <v>#N/A</v>
        <stp/>
        <stp>Instr</stp>
        <stp>ICE</stp>
        <stp>I</stp>
        <stp>FUTURE</stp>
        <stp>Feb27</stp>
        <tr r="F36" s="2"/>
      </tp>
    </main>
    <main first="tt.rtd">
      <tp t="e">
        <v>#N/A</v>
        <stp/>
        <stp>Instr</stp>
        <stp>ICE</stp>
        <stp>R</stp>
        <stp>FUTURE</stp>
        <stp>Dec26</stp>
        <tr r="F100" s="2"/>
      </tp>
    </main>
    <main first="tt.rtd">
      <tp t="e">
        <v>#N/A</v>
        <stp/>
        <stp>Instr</stp>
        <stp>ICE</stp>
        <stp>I</stp>
        <stp>FUTURE</stp>
        <stp>Dec27</stp>
        <tr r="F40" s="2"/>
      </tp>
      <tp t="e">
        <v>#N/A</v>
        <stp/>
        <stp>Instr</stp>
        <stp>ICE</stp>
        <stp>I</stp>
        <stp>FUTURE</stp>
        <stp>Dec26</stp>
        <tr r="F34" s="2"/>
      </tp>
      <tp t="e">
        <v>#N/A</v>
        <stp/>
        <stp>Instr</stp>
        <stp>ICE</stp>
        <stp>I</stp>
        <stp>FUTURE</stp>
        <stp>Dec29</stp>
        <tr r="F48" s="2"/>
      </tp>
      <tp t="e">
        <v>#N/A</v>
        <stp/>
        <stp>Instr</stp>
        <stp>ICE</stp>
        <stp>I</stp>
        <stp>FUTURE</stp>
        <stp>Dec28</stp>
        <tr r="F44" s="2"/>
      </tp>
      <tp t="e">
        <v>#N/A</v>
        <stp/>
        <stp>Instr</stp>
        <stp>ICE</stp>
        <stp>I</stp>
        <stp>FUTURE</stp>
        <stp>Dec31</stp>
        <tr r="F56" s="2"/>
      </tp>
      <tp t="e">
        <v>#N/A</v>
        <stp/>
        <stp>Instr</stp>
        <stp>ICE</stp>
        <stp>I</stp>
        <stp>FUTURE</stp>
        <stp>Dec30</stp>
        <tr r="F52" s="2"/>
      </tp>
    </main>
    <main first="tt.rtd">
      <tp t="e">
        <v>#N/A</v>
        <stp/>
        <stp>Instr</stp>
        <stp>ICE</stp>
        <stp>I</stp>
        <stp>FUTURE</stp>
        <stp>Oct26</stp>
        <tr r="F32" s="2"/>
      </tp>
    </main>
    <main first="tt.rtd">
      <tp t="e">
        <v>#N/A</v>
        <stp/>
        <stp>Instr</stp>
        <stp>CME</stp>
        <stp>Z3N</stp>
        <stp>FUTURE</stp>
        <stp>Mar27</stp>
        <tr r="F230" s="2"/>
      </tp>
    </main>
    <main first="tt.rtd">
      <tp t="e">
        <v>#N/A</v>
        <stp/>
        <stp>Instr</stp>
        <stp>ICE</stp>
        <stp>I</stp>
        <stp>FUTURE</stp>
        <stp>Nov26</stp>
        <tr r="F33" s="2"/>
      </tp>
    </main>
    <main first="tt.rtd">
      <tp t="e">
        <v>#N/A</v>
        <stp/>
        <stp>Instr</stp>
        <stp>ICE</stp>
        <stp>I</stp>
        <stp>FUTURE</stp>
        <stp>Sep27</stp>
        <tr r="F39" s="2"/>
      </tp>
      <tp t="e">
        <v>#N/A</v>
        <stp/>
        <stp>Instr</stp>
        <stp>ICE</stp>
        <stp>I</stp>
        <stp>FUTURE</stp>
        <stp>Sep28</stp>
        <tr r="F43" s="2"/>
      </tp>
      <tp t="e">
        <v>#N/A</v>
        <stp/>
        <stp>Instr</stp>
        <stp>ICE</stp>
        <stp>I</stp>
        <stp>FUTURE</stp>
        <stp>Sep29</stp>
        <tr r="F47" s="2"/>
      </tp>
      <tp t="e">
        <v>#N/A</v>
        <stp/>
        <stp>Instr</stp>
        <stp>ICE</stp>
        <stp>I</stp>
        <stp>FUTURE</stp>
        <stp>Sep32</stp>
        <tr r="F59" s="2"/>
      </tp>
      <tp t="e">
        <v>#N/A</v>
        <stp/>
        <stp>Instr</stp>
        <stp>ICE</stp>
        <stp>I</stp>
        <stp>FUTURE</stp>
        <stp>Sep30</stp>
        <tr r="F51" s="2"/>
      </tp>
      <tp t="e">
        <v>#N/A</v>
        <stp/>
        <stp>Instr</stp>
        <stp>ICE</stp>
        <stp>I</stp>
        <stp>FUTURE</stp>
        <stp>Sep31</stp>
        <tr r="F55" s="2"/>
      </tp>
    </main>
    <main first="tt.rtd">
      <tp t="e">
        <v>#N/A</v>
        <stp/>
        <stp>Instr</stp>
        <stp>ICE</stp>
        <stp>I</stp>
        <stp>FUTURE</stp>
        <stp>Mar28</stp>
        <tr r="F41" s="2"/>
      </tp>
      <tp t="e">
        <v>#N/A</v>
        <stp/>
        <stp>Instr</stp>
        <stp>ICE</stp>
        <stp>I</stp>
        <stp>FUTURE</stp>
        <stp>Mar29</stp>
        <tr r="F45" s="2"/>
      </tp>
      <tp t="e">
        <v>#N/A</v>
        <stp/>
        <stp>Instr</stp>
        <stp>ICE</stp>
        <stp>I</stp>
        <stp>FUTURE</stp>
        <stp>Mar27</stp>
        <tr r="F37" s="2"/>
      </tp>
      <tp t="e">
        <v>#N/A</v>
        <stp/>
        <stp>Instr</stp>
        <stp>ICE</stp>
        <stp>I</stp>
        <stp>FUTURE</stp>
        <stp>Mar30</stp>
        <tr r="F49" s="2"/>
      </tp>
      <tp t="e">
        <v>#N/A</v>
        <stp/>
        <stp>Instr</stp>
        <stp>ICE</stp>
        <stp>I</stp>
        <stp>FUTURE</stp>
        <stp>Mar31</stp>
        <tr r="F53" s="2"/>
      </tp>
      <tp t="e">
        <v>#N/A</v>
        <stp/>
        <stp>Instr</stp>
        <stp>ICE</stp>
        <stp>I</stp>
        <stp>FUTURE</stp>
        <stp>Mar32</stp>
        <tr r="F57" s="2"/>
      </tp>
    </main>
    <main first="tt.rtd">
      <tp t="e">
        <v>#N/A</v>
        <stp/>
        <stp>Instr</stp>
        <stp>ASX</stp>
        <stp>XT</stp>
        <stp>FUTURE</stp>
        <stp>Mar27</stp>
        <tr r="F260" s="2"/>
      </tp>
    </main>
    <main first="tt.rtd">
      <tp t="e">
        <v>#N/A</v>
        <stp/>
        <stp>Instr</stp>
        <stp>CME</stp>
        <stp>ZN</stp>
        <stp>FUTURE</stp>
        <stp>Mar27</stp>
        <tr r="F234" s="2"/>
      </tp>
      <tp t="e">
        <v>#N/A</v>
        <stp/>
        <stp>Instr</stp>
        <stp>ASX</stp>
        <stp>IR</stp>
        <stp>FUTURE</stp>
        <stp>Dec26</stp>
        <tr r="F241" s="2"/>
      </tp>
      <tp t="e">
        <v>#N/A</v>
        <stp/>
        <stp>Instr</stp>
        <stp>ASX</stp>
        <stp>IR</stp>
        <stp>FUTURE</stp>
        <stp>Dec27</stp>
        <tr r="F245" s="2"/>
      </tp>
      <tp t="e">
        <v>#N/A</v>
        <stp/>
        <stp>Instr</stp>
        <stp>ASX</stp>
        <stp>IR</stp>
        <stp>FUTURE</stp>
        <stp>Dec28</stp>
        <tr r="F249" s="2"/>
      </tp>
      <tp t="e">
        <v>#N/A</v>
        <stp/>
        <stp>Instr</stp>
        <stp>ASX</stp>
        <stp>IR</stp>
        <stp>FUTURE</stp>
        <stp>Dec29</stp>
        <tr r="F253" s="2"/>
      </tp>
    </main>
    <main first="tt.rtd">
      <tp t="e">
        <v>#N/A</v>
        <stp/>
        <stp>Instr</stp>
        <stp>CME</stp>
        <stp>ZF</stp>
        <stp>FUTURE</stp>
        <stp>Mar27</stp>
        <tr r="F232" s="2"/>
      </tp>
    </main>
    <main first="tt.rtd">
      <tp t="e">
        <v>#N/A</v>
        <stp/>
        <stp>Instr</stp>
        <stp>CME</stp>
        <stp>ZQ</stp>
        <stp>FUTURE</stp>
        <stp>Mar27</stp>
        <tr r="F236" s="2"/>
      </tp>
      <tp t="e">
        <v>#N/A</v>
        <stp/>
        <stp>Instr</stp>
        <stp>CME</stp>
        <stp>ZT</stp>
        <stp>FUTURE</stp>
        <stp>Mar27</stp>
        <tr r="F238" s="2"/>
      </tp>
    </main>
    <main first="tt.rtd">
      <tp t="e">
        <v>#N/A</v>
        <stp/>
        <stp>Instr</stp>
        <stp>ASX</stp>
        <stp>YT</stp>
        <stp>FUTURE</stp>
        <stp>Mar27</stp>
        <tr r="F262" s="2"/>
      </tp>
    </main>
    <main first="tt.rtd">
      <tp t="e">
        <v>#N/A</v>
        <stp/>
        <stp>Instr</stp>
        <stp>CME</stp>
        <stp>TN</stp>
        <stp>FUTURE</stp>
        <stp>Mar27</stp>
        <tr r="F222" s="2"/>
      </tp>
    </main>
    <main first="tt.rtd">
      <tp t="e">
        <v>#N/A</v>
        <stp/>
        <stp>Instr</stp>
        <stp>CME</stp>
        <stp>UB</stp>
        <stp>FUTURE</stp>
        <stp>Mar27</stp>
        <tr r="F226" s="2"/>
      </tp>
    </main>
    <main first="tt.rtd">
      <tp t="e">
        <v>#N/A</v>
        <stp/>
        <stp>Instr</stp>
        <stp>CME</stp>
        <stp>US</stp>
        <stp>FUTURE</stp>
        <stp>Mar27</stp>
        <tr r="F228" s="2"/>
      </tp>
    </main>
    <main first="tt.rtd">
      <tp t="e">
        <v>#N/A</v>
        <stp/>
        <stp>Instr</stp>
        <stp>Eurex</stp>
        <stp>FVS</stp>
        <stp>FUTURE</stp>
        <stp>Mar27</stp>
        <tr r="F156" s="2"/>
      </tp>
    </main>
    <main first="tt.rtd">
      <tp t="e">
        <v>#N/A</v>
        <stp/>
        <stp>Instr</stp>
        <stp>CFE</stp>
        <stp>VX</stp>
        <stp>FUTURE</stp>
        <stp>Mar27</stp>
        <tr r="F240" s="2"/>
      </tp>
    </main>
    <main first="tt.rtd">
      <tp t="e">
        <v>#N/A</v>
        <stp/>
        <stp>Instr</stp>
        <stp>ASX</stp>
        <stp>IR</stp>
        <stp>FUTURE</stp>
        <stp>Jun30</stp>
        <tr r="F255" s="2"/>
      </tp>
      <tp t="e">
        <v>#N/A</v>
        <stp/>
        <stp>Instr</stp>
        <stp>ASX</stp>
        <stp>IR</stp>
        <stp>FUTURE</stp>
        <stp>Jun28</stp>
        <tr r="F247" s="2"/>
      </tp>
      <tp t="e">
        <v>#N/A</v>
        <stp/>
        <stp>Instr</stp>
        <stp>ASX</stp>
        <stp>IR</stp>
        <stp>FUTURE</stp>
        <stp>Jun29</stp>
        <tr r="F251" s="2"/>
      </tp>
      <tp t="e">
        <v>#N/A</v>
        <stp/>
        <stp>Instr</stp>
        <stp>ASX</stp>
        <stp>IR</stp>
        <stp>FUTURE</stp>
        <stp>Jun27</stp>
        <tr r="F243" s="2"/>
      </tp>
    </main>
    <main first="tt.rtd">
      <tp t="e">
        <v>#N/A</v>
        <stp/>
        <stp>Instr</stp>
        <stp>Eurex</stp>
        <stp>FVS</stp>
        <stp>FUTURE</stp>
        <stp>Oct26</stp>
        <tr r="F151" s="2"/>
      </tp>
    </main>
    <main first="tt.rtd">
      <tp t="e">
        <v>#N/A</v>
        <stp/>
        <stp>Instr</stp>
        <stp>Eurex</stp>
        <stp>FVS</stp>
        <stp>FUTURE</stp>
        <stp>Nov26</stp>
        <tr r="F152" s="2"/>
      </tp>
    </main>
    <main first="tt.rtd">
      <tp t="e">
        <v>#N/A</v>
        <stp/>
        <stp>Instr</stp>
        <stp>ASX</stp>
        <stp>IR</stp>
        <stp>FUTURE</stp>
        <stp>Sep30</stp>
        <tr r="F256" s="2"/>
      </tp>
      <tp t="e">
        <v>#N/A</v>
        <stp/>
        <stp>Instr</stp>
        <stp>ASX</stp>
        <stp>IR</stp>
        <stp>FUTURE</stp>
        <stp>Sep27</stp>
        <tr r="F244" s="2"/>
      </tp>
      <tp t="e">
        <v>#N/A</v>
        <stp/>
        <stp>Instr</stp>
        <stp>ASX</stp>
        <stp>IR</stp>
        <stp>FUTURE</stp>
        <stp>Sep29</stp>
        <tr r="F252" s="2"/>
      </tp>
      <tp t="e">
        <v>#N/A</v>
        <stp/>
        <stp>Instr</stp>
        <stp>ASX</stp>
        <stp>IR</stp>
        <stp>FUTURE</stp>
        <stp>Sep28</stp>
        <tr r="F248" s="2"/>
      </tp>
    </main>
    <main first="tt.rtd">
      <tp t="e">
        <v>#N/A</v>
        <stp/>
        <stp>Instr</stp>
        <stp>Eurex</stp>
        <stp>FVS</stp>
        <stp>FUTURE</stp>
        <stp>Jan27</stp>
        <tr r="F154" s="2"/>
      </tp>
    </main>
    <main first="tt.rtd">
      <tp t="e">
        <v>#N/A</v>
        <stp/>
        <stp>Instr</stp>
        <stp>ASX</stp>
        <stp>YT</stp>
        <stp>FUTURE</stp>
        <stp>Dec26</stp>
        <tr r="F261" s="2"/>
      </tp>
    </main>
    <main first="tt.rtd">
      <tp t="e">
        <v>#N/A</v>
        <stp/>
        <stp>Instr</stp>
        <stp>ASX</stp>
        <stp>XT</stp>
        <stp>FUTURE</stp>
        <stp>Dec26</stp>
        <tr r="F259" s="2"/>
      </tp>
      <tp t="e">
        <v>#N/A</v>
        <stp/>
        <stp>Instr</stp>
        <stp>CME</stp>
        <stp>ZN</stp>
        <stp>FUTURE</stp>
        <stp>Dec26</stp>
        <tr r="F233" s="2"/>
      </tp>
      <tp t="e">
        <v>#N/A</v>
        <stp/>
        <stp>Instr</stp>
        <stp>ASX</stp>
        <stp>IR</stp>
        <stp>FUTURE</stp>
        <stp>Mar30</stp>
        <tr r="F254" s="2"/>
      </tp>
      <tp t="e">
        <v>#N/A</v>
        <stp/>
        <stp>Instr</stp>
        <stp>ASX</stp>
        <stp>IR</stp>
        <stp>FUTURE</stp>
        <stp>Mar29</stp>
        <tr r="F250" s="2"/>
      </tp>
      <tp t="e">
        <v>#N/A</v>
        <stp/>
        <stp>Instr</stp>
        <stp>ASX</stp>
        <stp>IR</stp>
        <stp>FUTURE</stp>
        <stp>Mar28</stp>
        <tr r="F246" s="2"/>
      </tp>
      <tp t="e">
        <v>#N/A</v>
        <stp/>
        <stp>Instr</stp>
        <stp>ASX</stp>
        <stp>IR</stp>
        <stp>FUTURE</stp>
        <stp>Mar27</stp>
        <tr r="F242" s="2"/>
      </tp>
      <tp t="e">
        <v>#N/A</v>
        <stp/>
        <stp>Instr</stp>
        <stp>CME</stp>
        <stp>ZF</stp>
        <stp>FUTURE</stp>
        <stp>Dec26</stp>
        <tr r="F231" s="2"/>
      </tp>
      <tp t="e">
        <v>#N/A</v>
        <stp/>
        <stp>Instr</stp>
        <stp>CME</stp>
        <stp>ZQ</stp>
        <stp>FUTURE</stp>
        <stp>Dec26</stp>
        <tr r="F235" s="2"/>
      </tp>
      <tp t="e">
        <v>#N/A</v>
        <stp/>
        <stp>Instr</stp>
        <stp>CME</stp>
        <stp>ZT</stp>
        <stp>FUTURE</stp>
        <stp>Dec26</stp>
        <tr r="F237" s="2"/>
      </tp>
    </main>
    <main first="tt.rtd">
      <tp t="e">
        <v>#N/A</v>
        <stp/>
        <stp>Instr</stp>
        <stp>CME</stp>
        <stp>UB</stp>
        <stp>FUTURE</stp>
        <stp>Dec26</stp>
        <tr r="F225" s="2"/>
      </tp>
      <tp t="e">
        <v>#N/A</v>
        <stp/>
        <stp>Instr</stp>
        <stp>CME</stp>
        <stp>US</stp>
        <stp>FUTURE</stp>
        <stp>Dec26</stp>
        <tr r="F227" s="2"/>
      </tp>
    </main>
    <main first="tt.rtd">
      <tp t="e">
        <v>#N/A</v>
        <stp/>
        <stp>Instr</stp>
        <stp>CME</stp>
        <stp>TN</stp>
        <stp>FUTURE</stp>
        <stp>Dec26</stp>
        <tr r="F221" s="2"/>
      </tp>
    </main>
    <main first="tt.rtd">
      <tp t="e">
        <v>#N/A</v>
        <stp/>
        <stp>Instr</stp>
        <stp>Eurex</stp>
        <stp>FVS</stp>
        <stp>FUTURE</stp>
        <stp>Feb27</stp>
        <tr r="F155" s="2"/>
      </tp>
    </main>
    <main first="tt.rtd">
      <tp t="e">
        <v>#N/A</v>
        <stp/>
        <stp>Instr</stp>
        <stp>Eurex</stp>
        <stp>FVS</stp>
        <stp>FUTURE</stp>
        <stp>Dec26</stp>
        <tr r="F153" s="2"/>
      </tp>
    </main>
    <main first="tt.rtd">
      <tp t="e">
        <v>#N/A</v>
        <stp/>
        <stp>Instr</stp>
        <stp>CFE</stp>
        <stp>VX</stp>
        <stp>FUTURE</stp>
        <stp>Dec26</stp>
        <tr r="F239" s="2"/>
      </tp>
    </main>
    <main first="tt.rtd">
      <tp t="e">
        <v>#N/A</v>
        <stp/>
        <stp>Instr</stp>
        <stp>Eurex</stp>
        <stp>FGBS</stp>
        <stp>FUTURE</stp>
        <stp>Mar27</stp>
        <tr r="F146" s="2"/>
      </tp>
      <tp t="e">
        <v>#N/A</v>
        <stp/>
        <stp>Instr</stp>
        <stp>Eurex</stp>
        <stp>FGBX</stp>
        <stp>FUTURE</stp>
        <stp>Mar27</stp>
        <tr r="F148" s="2"/>
      </tp>
    </main>
    <main first="tt.rtd">
      <tp t="e">
        <v>#N/A</v>
        <stp/>
        <stp>Instr</stp>
        <stp>Eurex</stp>
        <stp>FGBM</stp>
        <stp>FUTURE</stp>
        <stp>Mar27</stp>
        <tr r="F144" s="2"/>
      </tp>
      <tp t="e">
        <v>#N/A</v>
        <stp/>
        <stp>Instr</stp>
        <stp>Eurex</stp>
        <stp>FGBL</stp>
        <stp>FUTURE</stp>
        <stp>Mar27</stp>
        <tr r="F142" s="2"/>
      </tp>
    </main>
    <main first="tt.rtd">
      <tp t="e">
        <v>#N/A</v>
        <stp/>
        <stp>Instr</stp>
        <stp>Eurex</stp>
        <stp>FOAT</stp>
        <stp>FUTURE</stp>
        <stp>Mar27</stp>
        <tr r="F150" s="2"/>
      </tp>
    </main>
    <main first="tt.rtd">
      <tp t="e">
        <v>#N/A</v>
        <stp/>
        <stp>Instr</stp>
        <stp>Eurex</stp>
        <stp>FBTS</stp>
        <stp>FUTURE</stp>
        <stp>Dec26</stp>
        <tr r="F139" s="2"/>
      </tp>
      <tp t="e">
        <v>#N/A</v>
        <stp/>
        <stp>Instr</stp>
        <stp>Eurex</stp>
        <stp>FBTP</stp>
        <stp>FUTURE</stp>
        <stp>Dec26</stp>
        <tr r="F137" s="2"/>
      </tp>
    </main>
    <main first="tt.rtd">
      <tp t="e">
        <v>#N/A</v>
        <stp/>
        <stp>Instr</stp>
        <stp>Eurex</stp>
        <stp>FGBS</stp>
        <stp>FUTURE</stp>
        <stp>Dec26</stp>
        <tr r="F145" s="2"/>
      </tp>
      <tp t="e">
        <v>#N/A</v>
        <stp/>
        <stp>Instr</stp>
        <stp>Eurex</stp>
        <stp>FGBX</stp>
        <stp>FUTURE</stp>
        <stp>Dec26</stp>
        <tr r="F147" s="2"/>
      </tp>
    </main>
    <main first="tt.rtd">
      <tp t="e">
        <v>#N/A</v>
        <stp/>
        <stp>Instr</stp>
        <stp>Eurex</stp>
        <stp>FGBM</stp>
        <stp>FUTURE</stp>
        <stp>Dec26</stp>
        <tr r="F143" s="2"/>
      </tp>
    </main>
    <main first="tt.rtd">
      <tp t="e">
        <v>#N/A</v>
        <stp/>
        <stp>Instr</stp>
        <stp>Eurex</stp>
        <stp>FGBL</stp>
        <stp>FUTURE</stp>
        <stp>Dec26</stp>
        <tr r="F141" s="2"/>
      </tp>
    </main>
    <main first="tt.rtd">
      <tp t="e">
        <v>#N/A</v>
        <stp/>
        <stp>Instr</stp>
        <stp>Eurex</stp>
        <stp>FOAT</stp>
        <stp>FUTURE</stp>
        <stp>Dec26</stp>
        <tr r="F149" s="2"/>
      </tp>
    </main>
    <main first="tt.rtd">
      <tp t="e">
        <v>#N/A</v>
        <stp/>
        <stp>Instr</stp>
        <stp>Eurex</stp>
        <stp>FBTS</stp>
        <stp>FUTURE</stp>
        <stp>Mar27</stp>
        <tr r="F140" s="2"/>
      </tp>
      <tp t="e">
        <v>#N/A</v>
        <stp/>
        <stp>Instr</stp>
        <stp>Eurex</stp>
        <stp>FBTP</stp>
        <stp>FUTURE</stp>
        <stp>Mar27</stp>
        <tr r="F138" s="2"/>
      </tp>
    </main>
    <main first="tt.rtd">
      <tp t="e">
        <v>#N/A</v>
        <stp/>
        <stp>Instr</stp>
        <stp>CME</stp>
        <stp>SR1</stp>
        <stp>FUTURE</stp>
        <stp>Jun27</stp>
        <tr r="F165" s="2"/>
      </tp>
      <tp t="e">
        <v>#N/A</v>
        <stp/>
        <stp>Instr</stp>
        <stp>CME</stp>
        <stp>SR1</stp>
        <stp>FUTURE</stp>
        <stp>Jan27</stp>
        <tr r="F160" s="2"/>
      </tp>
      <tp t="e">
        <v>#N/A</v>
        <stp/>
        <stp>Instr</stp>
        <stp>CME</stp>
        <stp>SR1</stp>
        <stp>FUTURE</stp>
        <stp>Jan28</stp>
        <tr r="F172" s="2"/>
      </tp>
      <tp t="e">
        <v>#N/A</v>
        <stp/>
        <stp>Instr</stp>
        <stp>CME</stp>
        <stp>SR3</stp>
        <stp>FUTURE</stp>
        <stp>Jun27</stp>
        <tr r="F199" s="2"/>
      </tp>
      <tp t="e">
        <v>#N/A</v>
        <stp/>
        <stp>Instr</stp>
        <stp>CME</stp>
        <stp>SR3</stp>
        <stp>FUTURE</stp>
        <stp>Jan27</stp>
        <tr r="F196" s="2"/>
      </tp>
      <tp t="e">
        <v>#N/A</v>
        <stp/>
        <stp>Instr</stp>
        <stp>CME</stp>
        <stp>SR3</stp>
        <stp>FUTURE</stp>
        <stp>Jun29</stp>
        <tr r="F207" s="2"/>
      </tp>
      <tp t="e">
        <v>#N/A</v>
        <stp/>
        <stp>Instr</stp>
        <stp>CME</stp>
        <stp>SR3</stp>
        <stp>FUTURE</stp>
        <stp>Jun28</stp>
        <tr r="F203" s="2"/>
      </tp>
      <tp t="e">
        <v>#N/A</v>
        <stp/>
        <stp>Instr</stp>
        <stp>CME</stp>
        <stp>SR3</stp>
        <stp>FUTURE</stp>
        <stp>Jun32</stp>
        <tr r="F219" s="2"/>
      </tp>
      <tp t="e">
        <v>#N/A</v>
        <stp/>
        <stp>Instr</stp>
        <stp>CME</stp>
        <stp>SR3</stp>
        <stp>FUTURE</stp>
        <stp>Jun31</stp>
        <tr r="F215" s="2"/>
      </tp>
      <tp t="e">
        <v>#N/A</v>
        <stp/>
        <stp>Instr</stp>
        <stp>CME</stp>
        <stp>SR3</stp>
        <stp>FUTURE</stp>
        <stp>Jun30</stp>
        <tr r="F211" s="2"/>
      </tp>
    </main>
    <main first="tt.rtd">
      <tp t="e">
        <v>#N/A</v>
        <stp/>
        <stp>Instr</stp>
        <stp>ICE</stp>
        <stp>MPC</stp>
        <stp>FUTURE</stp>
        <stp>Feb27</stp>
        <tr r="F92" s="2"/>
      </tp>
    </main>
    <main first="tt.rtd">
      <tp t="e">
        <v>#N/A</v>
        <stp/>
        <stp>Instr</stp>
        <stp>ICE</stp>
        <stp>SA3</stp>
        <stp>FUTURE</stp>
        <stp>Mar27</stp>
        <tr r="F102" s="2"/>
      </tp>
      <tp t="e">
        <v>#N/A</v>
        <stp/>
        <stp>Instr</stp>
        <stp>ICE</stp>
        <stp>SA3</stp>
        <stp>FUTURE</stp>
        <stp>Mar28</stp>
        <tr r="F106" s="2"/>
      </tp>
      <tp t="e">
        <v>#N/A</v>
        <stp/>
        <stp>Instr</stp>
        <stp>ICE</stp>
        <stp>SA3</stp>
        <stp>FUTURE</stp>
        <stp>Mar29</stp>
        <tr r="F110" s="2"/>
      </tp>
    </main>
    <main first="tt.rtd">
      <tp t="e">
        <v>#N/A</v>
        <stp/>
        <stp>Instr</stp>
        <stp>ICE</stp>
        <stp>MPC</stp>
        <stp>FUTURE</stp>
        <stp>Dec27</stp>
        <tr r="F96" s="2"/>
      </tp>
      <tp t="e">
        <v>#N/A</v>
        <stp/>
        <stp>Instr</stp>
        <stp>ICE</stp>
        <stp>MPC</stp>
        <stp>FUTURE</stp>
        <stp>Dec26</stp>
        <tr r="F90" s="2"/>
      </tp>
    </main>
    <main first="tt.rtd">
      <tp t="e">
        <v>#N/A</v>
        <stp/>
        <stp>Instr</stp>
        <stp>CME</stp>
        <stp>SR1</stp>
        <stp>FUTURE</stp>
        <stp>Jul27</stp>
        <tr r="F166" s="2"/>
      </tp>
      <tp t="e">
        <v>#N/A</v>
        <stp/>
        <stp>Instr</stp>
        <stp>ICE</stp>
        <stp>ER3</stp>
        <stp>FUTURE</stp>
        <stp>Feb27</stp>
        <tr r="F8" s="2"/>
      </tp>
    </main>
    <main first="tt.rtd">
      <tp t="e">
        <v>#N/A</v>
        <stp/>
        <stp>Instr</stp>
        <stp>ICE</stp>
        <stp>SA3</stp>
        <stp>FUTURE</stp>
        <stp>Sep28</stp>
        <tr r="F108" s="2"/>
      </tp>
      <tp t="e">
        <v>#N/A</v>
        <stp/>
        <stp>Instr</stp>
        <stp>ICE</stp>
        <stp>SA3</stp>
        <stp>FUTURE</stp>
        <stp>Sep29</stp>
        <tr r="F112" s="2"/>
      </tp>
      <tp t="e">
        <v>#N/A</v>
        <stp/>
        <stp>Instr</stp>
        <stp>ICE</stp>
        <stp>SA3</stp>
        <stp>FUTURE</stp>
        <stp>Sep27</stp>
        <tr r="F104" s="2"/>
      </tp>
      <tp t="e">
        <v>#N/A</v>
        <stp/>
        <stp>Instr</stp>
        <stp>ICE</stp>
        <stp>ER3</stp>
        <stp>FUTURE</stp>
        <stp>Dec29</stp>
        <tr r="F20" s="2"/>
      </tp>
      <tp t="e">
        <v>#N/A</v>
        <stp/>
        <stp>Instr</stp>
        <stp>ICE</stp>
        <stp>ER3</stp>
        <stp>FUTURE</stp>
        <stp>Dec28</stp>
        <tr r="F16" s="2"/>
      </tp>
      <tp t="e">
        <v>#N/A</v>
        <stp/>
        <stp>Instr</stp>
        <stp>ICE</stp>
        <stp>ER3</stp>
        <stp>FUTURE</stp>
        <stp>Dec27</stp>
        <tr r="F12" s="2"/>
      </tp>
      <tp t="e">
        <v>#N/A</v>
        <stp/>
        <stp>Instr</stp>
        <stp>ICE</stp>
        <stp>ER3</stp>
        <stp>FUTURE</stp>
        <stp>Dec26</stp>
        <tr r="F6" s="2"/>
      </tp>
      <tp t="e">
        <v>#N/A</v>
        <stp/>
        <stp>Instr</stp>
        <stp>ICE</stp>
        <stp>ER3</stp>
        <stp>FUTURE</stp>
        <stp>Dec31</stp>
        <tr r="F28" s="2"/>
      </tp>
      <tp t="e">
        <v>#N/A</v>
        <stp/>
        <stp>Instr</stp>
        <stp>ICE</stp>
        <stp>ER3</stp>
        <stp>FUTURE</stp>
        <stp>Dec30</stp>
        <tr r="F24" s="2"/>
      </tp>
    </main>
    <main first="tt.rtd">
      <tp t="e">
        <v>#N/A</v>
        <stp/>
        <stp>Instr</stp>
        <stp>CME</stp>
        <stp>SR1</stp>
        <stp>FUTURE</stp>
        <stp>Feb28</stp>
        <tr r="F173" s="2"/>
      </tp>
      <tp t="e">
        <v>#N/A</v>
        <stp/>
        <stp>Instr</stp>
        <stp>CME</stp>
        <stp>SR1</stp>
        <stp>FUTURE</stp>
        <stp>Feb27</stp>
        <tr r="F161" s="2"/>
      </tp>
      <tp t="e">
        <v>#N/A</v>
        <stp/>
        <stp>Instr</stp>
        <stp>CME</stp>
        <stp>SR3</stp>
        <stp>FUTURE</stp>
        <stp>Feb27</stp>
        <tr r="F197" s="2"/>
      </tp>
    </main>
    <main first="tt.rtd">
      <tp t="e">
        <v>#N/A</v>
        <stp/>
        <stp>Instr</stp>
        <stp>ICE</stp>
        <stp>MPC</stp>
        <stp>FUTURE</stp>
        <stp>Jan27</stp>
        <tr r="F91" s="2"/>
      </tp>
      <tp t="e">
        <v>#N/A</v>
        <stp/>
        <stp>Instr</stp>
        <stp>ICE</stp>
        <stp>MPC</stp>
        <stp>FUTURE</stp>
        <stp>Jun27</stp>
        <tr r="F94" s="2"/>
      </tp>
      <tp t="e">
        <v>#N/A</v>
        <stp/>
        <stp>Instr</stp>
        <stp>ICE</stp>
        <stp>MPC</stp>
        <stp>FUTURE</stp>
        <stp>Jun28</stp>
        <tr r="F98" s="2"/>
      </tp>
    </main>
    <main first="tt.rtd">
      <tp t="e">
        <v>#N/A</v>
        <stp/>
        <stp>Instr</stp>
        <stp>CME</stp>
        <stp>SR1</stp>
        <stp>FUTURE</stp>
        <stp>Dec27</stp>
        <tr r="F171" s="2"/>
      </tp>
      <tp t="e">
        <v>#N/A</v>
        <stp/>
        <stp>Instr</stp>
        <stp>CME</stp>
        <stp>SR1</stp>
        <stp>FUTURE</stp>
        <stp>Dec26</stp>
        <tr r="F159" s="2"/>
      </tp>
      <tp t="e">
        <v>#N/A</v>
        <stp/>
        <stp>Instr</stp>
        <stp>ICE</stp>
        <stp>SO3</stp>
        <stp>FUTURE</stp>
        <stp>Sep28</stp>
        <tr r="F120" s="2"/>
      </tp>
      <tp t="e">
        <v>#N/A</v>
        <stp/>
        <stp>Instr</stp>
        <stp>ICE</stp>
        <stp>SO3</stp>
        <stp>FUTURE</stp>
        <stp>Sep29</stp>
        <tr r="F124" s="2"/>
      </tp>
      <tp t="e">
        <v>#N/A</v>
        <stp/>
        <stp>Instr</stp>
        <stp>ICE</stp>
        <stp>SO3</stp>
        <stp>FUTURE</stp>
        <stp>Sep27</stp>
        <tr r="F116" s="2"/>
      </tp>
      <tp t="e">
        <v>#N/A</v>
        <stp/>
        <stp>Instr</stp>
        <stp>CME</stp>
        <stp>SR3</stp>
        <stp>FUTURE</stp>
        <stp>Dec29</stp>
        <tr r="F209" s="2"/>
      </tp>
      <tp t="e">
        <v>#N/A</v>
        <stp/>
        <stp>Instr</stp>
        <stp>CME</stp>
        <stp>SR3</stp>
        <stp>FUTURE</stp>
        <stp>Dec28</stp>
        <tr r="F205" s="2"/>
      </tp>
      <tp t="e">
        <v>#N/A</v>
        <stp/>
        <stp>Instr</stp>
        <stp>CME</stp>
        <stp>SR3</stp>
        <stp>FUTURE</stp>
        <stp>Dec27</stp>
        <tr r="F201" s="2"/>
      </tp>
      <tp t="e">
        <v>#N/A</v>
        <stp/>
        <stp>Instr</stp>
        <stp>CME</stp>
        <stp>SR3</stp>
        <stp>FUTURE</stp>
        <stp>Dec26</stp>
        <tr r="F195" s="2"/>
      </tp>
      <tp t="e">
        <v>#N/A</v>
        <stp/>
        <stp>Instr</stp>
        <stp>ICE</stp>
        <stp>SO3</stp>
        <stp>FUTURE</stp>
        <stp>Sep32</stp>
        <tr r="F136" s="2"/>
      </tp>
      <tp t="e">
        <v>#N/A</v>
        <stp/>
        <stp>Instr</stp>
        <stp>ICE</stp>
        <stp>SO3</stp>
        <stp>FUTURE</stp>
        <stp>Sep30</stp>
        <tr r="F128" s="2"/>
      </tp>
      <tp t="e">
        <v>#N/A</v>
        <stp/>
        <stp>Instr</stp>
        <stp>ICE</stp>
        <stp>SO3</stp>
        <stp>FUTURE</stp>
        <stp>Sep31</stp>
        <tr r="F132" s="2"/>
      </tp>
      <tp t="e">
        <v>#N/A</v>
        <stp/>
        <stp>Instr</stp>
        <stp>CME</stp>
        <stp>SR3</stp>
        <stp>FUTURE</stp>
        <stp>Dec31</stp>
        <tr r="F217" s="2"/>
      </tp>
      <tp t="e">
        <v>#N/A</v>
        <stp/>
        <stp>Instr</stp>
        <stp>CME</stp>
        <stp>SR3</stp>
        <stp>FUTURE</stp>
        <stp>Dec30</stp>
        <tr r="F213" s="2"/>
      </tp>
    </main>
    <main first="tt.rtd">
      <tp t="e">
        <v>#N/A</v>
        <stp/>
        <stp>Instr</stp>
        <stp>ICE</stp>
        <stp>ER3</stp>
        <stp>FUTURE</stp>
        <stp>Jan27</stp>
        <tr r="F7" s="2"/>
      </tp>
      <tp t="e">
        <v>#N/A</v>
        <stp/>
        <stp>Instr</stp>
        <stp>ICE</stp>
        <stp>ER3</stp>
        <stp>FUTURE</stp>
        <stp>Jun27</stp>
        <tr r="F10" s="2"/>
      </tp>
      <tp t="e">
        <v>#N/A</v>
        <stp/>
        <stp>Instr</stp>
        <stp>ICE</stp>
        <stp>ER3</stp>
        <stp>FUTURE</stp>
        <stp>Jun29</stp>
        <tr r="F18" s="2"/>
      </tp>
      <tp t="e">
        <v>#N/A</v>
        <stp/>
        <stp>Instr</stp>
        <stp>ICE</stp>
        <stp>ER3</stp>
        <stp>FUTURE</stp>
        <stp>Jun28</stp>
        <tr r="F14" s="2"/>
      </tp>
      <tp t="e">
        <v>#N/A</v>
        <stp/>
        <stp>Instr</stp>
        <stp>ICE</stp>
        <stp>ER3</stp>
        <stp>FUTURE</stp>
        <stp>Jun32</stp>
        <tr r="F30" s="2"/>
      </tp>
      <tp t="e">
        <v>#N/A</v>
        <stp/>
        <stp>Instr</stp>
        <stp>ICE</stp>
        <stp>ER3</stp>
        <stp>FUTURE</stp>
        <stp>Jun31</stp>
        <tr r="F26" s="2"/>
      </tp>
      <tp t="e">
        <v>#N/A</v>
        <stp/>
        <stp>Instr</stp>
        <stp>ICE</stp>
        <stp>ER3</stp>
        <stp>FUTURE</stp>
        <stp>Jun30</stp>
        <tr r="F22" s="2"/>
      </tp>
    </main>
    <main first="tt.rtd">
      <tp t="e">
        <v>#N/A</v>
        <stp/>
        <stp>Instr</stp>
        <stp>ICE</stp>
        <stp>SO3</stp>
        <stp>FUTURE</stp>
        <stp>Mar27</stp>
        <tr r="F114" s="2"/>
      </tp>
      <tp t="e">
        <v>#N/A</v>
        <stp/>
        <stp>Instr</stp>
        <stp>ICE</stp>
        <stp>SO3</stp>
        <stp>FUTURE</stp>
        <stp>Mar28</stp>
        <tr r="F118" s="2"/>
      </tp>
      <tp t="e">
        <v>#N/A</v>
        <stp/>
        <stp>Instr</stp>
        <stp>ICE</stp>
        <stp>SO3</stp>
        <stp>FUTURE</stp>
        <stp>Mar29</stp>
        <tr r="F122" s="2"/>
      </tp>
      <tp t="e">
        <v>#N/A</v>
        <stp/>
        <stp>Instr</stp>
        <stp>ICE</stp>
        <stp>SO3</stp>
        <stp>FUTURE</stp>
        <stp>Mar30</stp>
        <tr r="F126" s="2"/>
      </tp>
      <tp t="e">
        <v>#N/A</v>
        <stp/>
        <stp>Instr</stp>
        <stp>ICE</stp>
        <stp>SO3</stp>
        <stp>FUTURE</stp>
        <stp>Mar31</stp>
        <tr r="F130" s="2"/>
      </tp>
      <tp t="e">
        <v>#N/A</v>
        <stp/>
        <stp>Instr</stp>
        <stp>ICE</stp>
        <stp>SO3</stp>
        <stp>FUTURE</stp>
        <stp>Mar32</stp>
        <tr r="F134" s="2"/>
      </tp>
    </main>
    <main first="tt.rtd">
      <tp t="e">
        <v>#N/A</v>
        <stp/>
        <stp>Instr</stp>
        <stp>CME</stp>
        <stp>TWE</stp>
        <stp>FUTURE</stp>
        <stp>Dec26</stp>
        <tr r="F223" s="2"/>
      </tp>
    </main>
    <main first="tt.rtd">
      <tp t="e">
        <v>#N/A</v>
        <stp/>
        <stp>Instr</stp>
        <stp>CME</stp>
        <stp>SR1</stp>
        <stp>FUTURE</stp>
        <stp>Aug27</stp>
        <tr r="F167" s="2"/>
      </tp>
    </main>
    <main first="tt.rtd">
      <tp t="e">
        <v>#N/A</v>
        <stp/>
        <stp>Instr</stp>
        <stp>ICE</stp>
        <stp>ER3</stp>
        <stp>FUTURE</stp>
        <stp>Oct26</stp>
        <tr r="F4" s="2"/>
      </tp>
    </main>
    <main first="tt.rtd">
      <tp t="e">
        <v>#N/A</v>
        <stp/>
        <stp>Instr</stp>
        <stp>ICE</stp>
        <stp>MPC</stp>
        <stp>FUTURE</stp>
        <stp>Nov26</stp>
        <tr r="F89" s="2"/>
      </tp>
    </main>
    <main first="tt.rtd">
      <tp t="e">
        <v>#N/A</v>
        <stp/>
        <stp>Instr</stp>
        <stp>ICE</stp>
        <stp>ER3</stp>
        <stp>FUTURE</stp>
        <stp>Nov26</stp>
        <tr r="F5" s="2"/>
      </tp>
    </main>
    <main first="tt.rtd">
      <tp t="e">
        <v>#N/A</v>
        <stp/>
        <stp>Instr</stp>
        <stp>ICE</stp>
        <stp>MPC</stp>
        <stp>FUTURE</stp>
        <stp>Oct26</stp>
        <tr r="F88" s="2"/>
      </tp>
    </main>
    <main first="tt.rtd">
      <tp t="e">
        <v>#N/A</v>
        <stp/>
        <stp>Instr</stp>
        <stp>CME</stp>
        <stp>SR1</stp>
        <stp>FUTURE</stp>
        <stp>May27</stp>
        <tr r="F164" s="2"/>
      </tp>
    </main>
    <main first="tt.rtd">
      <tp t="e">
        <v>#N/A</v>
        <stp/>
        <stp>Instr</stp>
        <stp>ICE</stp>
        <stp>ER3</stp>
        <stp>FUTURE</stp>
        <stp>Sep28</stp>
        <tr r="F15" s="2"/>
      </tp>
      <tp t="e">
        <v>#N/A</v>
        <stp/>
        <stp>Instr</stp>
        <stp>ICE</stp>
        <stp>ER3</stp>
        <stp>FUTURE</stp>
        <stp>Sep29</stp>
        <tr r="F19" s="2"/>
      </tp>
      <tp t="e">
        <v>#N/A</v>
        <stp/>
        <stp>Instr</stp>
        <stp>ICE</stp>
        <stp>ER3</stp>
        <stp>FUTURE</stp>
        <stp>Sep27</stp>
        <tr r="F11" s="2"/>
      </tp>
      <tp t="e">
        <v>#N/A</v>
        <stp/>
        <stp>Instr</stp>
        <stp>ICE</stp>
        <stp>SA3</stp>
        <stp>FUTURE</stp>
        <stp>Dec28</stp>
        <tr r="F109" s="2"/>
      </tp>
      <tp t="e">
        <v>#N/A</v>
        <stp/>
        <stp>Instr</stp>
        <stp>ICE</stp>
        <stp>SA3</stp>
        <stp>FUTURE</stp>
        <stp>Dec27</stp>
        <tr r="F105" s="2"/>
      </tp>
      <tp t="e">
        <v>#N/A</v>
        <stp/>
        <stp>Instr</stp>
        <stp>ICE</stp>
        <stp>SA3</stp>
        <stp>FUTURE</stp>
        <stp>Dec26</stp>
        <tr r="F101" s="2"/>
      </tp>
    </main>
    <main first="tt.rtd">
      <tp t="e">
        <v>#N/A</v>
        <stp/>
        <stp>Instr</stp>
        <stp>ICE</stp>
        <stp>ER3</stp>
        <stp>FUTURE</stp>
        <stp>Sep32</stp>
        <tr r="F31" s="2"/>
      </tp>
      <tp t="e">
        <v>#N/A</v>
        <stp/>
        <stp>Instr</stp>
        <stp>ICE</stp>
        <stp>ER3</stp>
        <stp>FUTURE</stp>
        <stp>Sep30</stp>
        <tr r="F23" s="2"/>
      </tp>
      <tp t="e">
        <v>#N/A</v>
        <stp/>
        <stp>Instr</stp>
        <stp>ICE</stp>
        <stp>ER3</stp>
        <stp>FUTURE</stp>
        <stp>Sep31</stp>
        <tr r="F27" s="2"/>
      </tp>
    </main>
    <main first="tt.rtd">
      <tp t="e">
        <v>#N/A</v>
        <stp/>
        <stp>Instr</stp>
        <stp>ICE</stp>
        <stp>MPC</stp>
        <stp>FUTURE</stp>
        <stp>Mar27</stp>
        <tr r="F93" s="2"/>
      </tp>
      <tp t="e">
        <v>#N/A</v>
        <stp/>
        <stp>Instr</stp>
        <stp>ICE</stp>
        <stp>MPC</stp>
        <stp>FUTURE</stp>
        <stp>Mar28</stp>
        <tr r="F97" s="2"/>
      </tp>
    </main>
    <main first="tt.rtd">
      <tp t="e">
        <v>#N/A</v>
        <stp/>
        <stp>Instr</stp>
        <stp>ICE</stp>
        <stp>ER3</stp>
        <stp>FUTURE</stp>
        <stp>Mar27</stp>
        <tr r="F9" s="2"/>
      </tp>
      <tp t="e">
        <v>#N/A</v>
        <stp/>
        <stp>Instr</stp>
        <stp>ICE</stp>
        <stp>ER3</stp>
        <stp>FUTURE</stp>
        <stp>Mar28</stp>
        <tr r="F13" s="2"/>
      </tp>
      <tp t="e">
        <v>#N/A</v>
        <stp/>
        <stp>Instr</stp>
        <stp>ICE</stp>
        <stp>ER3</stp>
        <stp>FUTURE</stp>
        <stp>Mar29</stp>
        <tr r="F17" s="2"/>
      </tp>
      <tp t="e">
        <v>#N/A</v>
        <stp/>
        <stp>Instr</stp>
        <stp>ICE</stp>
        <stp>ER3</stp>
        <stp>FUTURE</stp>
        <stp>Mar30</stp>
        <tr r="F21" s="2"/>
      </tp>
      <tp t="e">
        <v>#N/A</v>
        <stp/>
        <stp>Instr</stp>
        <stp>ICE</stp>
        <stp>ER3</stp>
        <stp>FUTURE</stp>
        <stp>Mar31</stp>
        <tr r="F25" s="2"/>
      </tp>
      <tp t="e">
        <v>#N/A</v>
        <stp/>
        <stp>Instr</stp>
        <stp>ICE</stp>
        <stp>ER3</stp>
        <stp>FUTURE</stp>
        <stp>Mar32</stp>
        <tr r="F29" s="2"/>
      </tp>
    </main>
    <main first="tt.rtd">
      <tp t="e">
        <v>#N/A</v>
        <stp/>
        <stp>Instr</stp>
        <stp>ICE</stp>
        <stp>MPC</stp>
        <stp>FUTURE</stp>
        <stp>Sep28</stp>
        <tr r="F99" s="2"/>
      </tp>
      <tp t="e">
        <v>#N/A</v>
        <stp/>
        <stp>Instr</stp>
        <stp>ICE</stp>
        <stp>MPC</stp>
        <stp>FUTURE</stp>
        <stp>Sep27</stp>
        <tr r="F95" s="2"/>
      </tp>
    </main>
    <main first="tt.rtd">
      <tp t="e">
        <v>#N/A</v>
        <stp/>
        <stp>Instr</stp>
        <stp>ICE</stp>
        <stp>SO3</stp>
        <stp>FUTURE</stp>
        <stp>Jun27</stp>
        <tr r="F115" s="2"/>
      </tp>
      <tp t="e">
        <v>#N/A</v>
        <stp/>
        <stp>Instr</stp>
        <stp>ICE</stp>
        <stp>SO3</stp>
        <stp>FUTURE</stp>
        <stp>Jun29</stp>
        <tr r="F123" s="2"/>
      </tp>
      <tp t="e">
        <v>#N/A</v>
        <stp/>
        <stp>Instr</stp>
        <stp>ICE</stp>
        <stp>SO3</stp>
        <stp>FUTURE</stp>
        <stp>Jun28</stp>
        <tr r="F119" s="2"/>
      </tp>
    </main>
    <main first="tt.rtd">
      <tp t="e">
        <v>#N/A</v>
        <stp/>
        <stp>Instr</stp>
        <stp>ICE</stp>
        <stp>SO3</stp>
        <stp>FUTURE</stp>
        <stp>Jun32</stp>
        <tr r="F135" s="2"/>
      </tp>
      <tp t="e">
        <v>#N/A</v>
        <stp/>
        <stp>Instr</stp>
        <stp>ICE</stp>
        <stp>SO3</stp>
        <stp>FUTURE</stp>
        <stp>Jun31</stp>
        <tr r="F131" s="2"/>
      </tp>
      <tp t="e">
        <v>#N/A</v>
        <stp/>
        <stp>Instr</stp>
        <stp>ICE</stp>
        <stp>SO3</stp>
        <stp>FUTURE</stp>
        <stp>Jun30</stp>
        <tr r="F127" s="2"/>
      </tp>
    </main>
    <main first="tt.rtd">
      <tp t="e">
        <v>#N/A</v>
        <stp/>
        <stp>Instr</stp>
        <stp>CME</stp>
        <stp>SR1</stp>
        <stp>FUTURE</stp>
        <stp>Mar27</stp>
        <tr r="F162" s="2"/>
      </tp>
      <tp t="e">
        <v>#N/A</v>
        <stp/>
        <stp>Instr</stp>
        <stp>CME</stp>
        <stp>SR1</stp>
        <stp>FUTURE</stp>
        <stp>Mar28</stp>
        <tr r="F174" s="2"/>
      </tp>
      <tp t="e">
        <v>#N/A</v>
        <stp/>
        <stp>Instr</stp>
        <stp>CME</stp>
        <stp>SR1</stp>
        <stp>FUTURE</stp>
        <stp>Apr27</stp>
        <tr r="F163" s="2"/>
      </tp>
      <tp t="e">
        <v>#N/A</v>
        <stp/>
        <stp>Instr</stp>
        <stp>CME</stp>
        <stp>SR3</stp>
        <stp>FUTURE</stp>
        <stp>Mar27</stp>
        <tr r="F198" s="2"/>
      </tp>
      <tp t="e">
        <v>#N/A</v>
        <stp/>
        <stp>Instr</stp>
        <stp>CME</stp>
        <stp>SR3</stp>
        <stp>FUTURE</stp>
        <stp>Mar28</stp>
        <tr r="F202" s="2"/>
      </tp>
      <tp t="e">
        <v>#N/A</v>
        <stp/>
        <stp>Instr</stp>
        <stp>CME</stp>
        <stp>SR3</stp>
        <stp>FUTURE</stp>
        <stp>Mar29</stp>
        <tr r="F206" s="2"/>
      </tp>
      <tp t="e">
        <v>#N/A</v>
        <stp/>
        <stp>Instr</stp>
        <stp>CME</stp>
        <stp>SR3</stp>
        <stp>FUTURE</stp>
        <stp>Mar30</stp>
        <tr r="F210" s="2"/>
      </tp>
      <tp t="e">
        <v>#N/A</v>
        <stp/>
        <stp>Instr</stp>
        <stp>CME</stp>
        <stp>SR3</stp>
        <stp>FUTURE</stp>
        <stp>Mar31</stp>
        <tr r="F214" s="2"/>
      </tp>
      <tp t="e">
        <v>#N/A</v>
        <stp/>
        <stp>Instr</stp>
        <stp>CME</stp>
        <stp>SR3</stp>
        <stp>FUTURE</stp>
        <stp>Mar32</stp>
        <tr r="F218" s="2"/>
      </tp>
    </main>
    <main first="tt.rtd">
      <tp t="e">
        <v>#N/A</v>
        <stp/>
        <stp>Instr</stp>
        <stp>ICE</stp>
        <stp>SA3</stp>
        <stp>FUTURE</stp>
        <stp>Jun27</stp>
        <tr r="F103" s="2"/>
      </tp>
      <tp t="e">
        <v>#N/A</v>
        <stp/>
        <stp>Instr</stp>
        <stp>ICE</stp>
        <stp>SA3</stp>
        <stp>FUTURE</stp>
        <stp>Jun29</stp>
        <tr r="F111" s="2"/>
      </tp>
      <tp t="e">
        <v>#N/A</v>
        <stp/>
        <stp>Instr</stp>
        <stp>ICE</stp>
        <stp>SA3</stp>
        <stp>FUTURE</stp>
        <stp>Jun28</stp>
        <tr r="F107" s="2"/>
      </tp>
    </main>
    <main first="tt.rtd">
      <tp t="e">
        <v>#N/A</v>
        <stp/>
        <stp>Instr</stp>
        <stp>CME</stp>
        <stp>SR1</stp>
        <stp>FUTURE</stp>
        <stp>Sep27</stp>
        <tr r="F168" s="2"/>
      </tp>
    </main>
    <main first="tt.rtd">
      <tp t="e">
        <v>#N/A</v>
        <stp/>
        <stp>Instr</stp>
        <stp>CME</stp>
        <stp>SR3</stp>
        <stp>FUTURE</stp>
        <stp>Sep28</stp>
        <tr r="F204" s="2"/>
      </tp>
      <tp t="e">
        <v>#N/A</v>
        <stp/>
        <stp>Instr</stp>
        <stp>CME</stp>
        <stp>SR3</stp>
        <stp>FUTURE</stp>
        <stp>Sep29</stp>
        <tr r="F208" s="2"/>
      </tp>
      <tp t="e">
        <v>#N/A</v>
        <stp/>
        <stp>Instr</stp>
        <stp>CME</stp>
        <stp>SR3</stp>
        <stp>FUTURE</stp>
        <stp>Sep27</stp>
        <tr r="F200" s="2"/>
      </tp>
      <tp t="e">
        <v>#N/A</v>
        <stp/>
        <stp>Instr</stp>
        <stp>ICE</stp>
        <stp>SO3</stp>
        <stp>FUTURE</stp>
        <stp>Dec29</stp>
        <tr r="F125" s="2"/>
      </tp>
      <tp t="e">
        <v>#N/A</v>
        <stp/>
        <stp>Instr</stp>
        <stp>ICE</stp>
        <stp>SO3</stp>
        <stp>FUTURE</stp>
        <stp>Dec28</stp>
        <tr r="F121" s="2"/>
      </tp>
      <tp t="e">
        <v>#N/A</v>
        <stp/>
        <stp>Instr</stp>
        <stp>ICE</stp>
        <stp>SO3</stp>
        <stp>FUTURE</stp>
        <stp>Dec27</stp>
        <tr r="F117" s="2"/>
      </tp>
      <tp t="e">
        <v>#N/A</v>
        <stp/>
        <stp>Instr</stp>
        <stp>ICE</stp>
        <stp>SO3</stp>
        <stp>FUTURE</stp>
        <stp>Dec26</stp>
        <tr r="F113" s="2"/>
      </tp>
      <tp t="e">
        <v>#N/A</v>
        <stp/>
        <stp>Instr</stp>
        <stp>CME</stp>
        <stp>SR3</stp>
        <stp>FUTURE</stp>
        <stp>Sep32</stp>
        <tr r="F220" s="2"/>
      </tp>
      <tp t="e">
        <v>#N/A</v>
        <stp/>
        <stp>Instr</stp>
        <stp>CME</stp>
        <stp>SR3</stp>
        <stp>FUTURE</stp>
        <stp>Sep30</stp>
        <tr r="F212" s="2"/>
      </tp>
      <tp t="e">
        <v>#N/A</v>
        <stp/>
        <stp>Instr</stp>
        <stp>CME</stp>
        <stp>SR3</stp>
        <stp>FUTURE</stp>
        <stp>Sep31</stp>
        <tr r="F216" s="2"/>
      </tp>
      <tp t="e">
        <v>#N/A</v>
        <stp/>
        <stp>Instr</stp>
        <stp>ICE</stp>
        <stp>SO3</stp>
        <stp>FUTURE</stp>
        <stp>Dec31</stp>
        <tr r="F133" s="2"/>
      </tp>
      <tp t="e">
        <v>#N/A</v>
        <stp/>
        <stp>Instr</stp>
        <stp>ICE</stp>
        <stp>SO3</stp>
        <stp>FUTURE</stp>
        <stp>Dec30</stp>
        <tr r="F129" s="2"/>
      </tp>
    </main>
    <main first="tt.rtd">
      <tp t="e">
        <v>#N/A</v>
        <stp/>
        <stp>Instr</stp>
        <stp>CME</stp>
        <stp>SR1</stp>
        <stp>FUTURE</stp>
        <stp>Nov27</stp>
        <tr r="F170" s="2"/>
      </tp>
      <tp t="e">
        <v>#N/A</v>
        <stp/>
        <stp>Instr</stp>
        <stp>CME</stp>
        <stp>SR1</stp>
        <stp>FUTURE</stp>
        <stp>Nov26</stp>
        <tr r="F158" s="2"/>
      </tp>
    </main>
    <main first="tt.rtd">
      <tp t="e">
        <v>#N/A</v>
        <stp/>
        <stp>Instr</stp>
        <stp>CME</stp>
        <stp>SR3</stp>
        <stp>FUTURE</stp>
        <stp>Nov26</stp>
        <tr r="F194" s="2"/>
      </tp>
    </main>
    <main first="tt.rtd">
      <tp t="e">
        <v>#N/A</v>
        <stp/>
        <stp>Instr</stp>
        <stp>CME</stp>
        <stp>TWE</stp>
        <stp>FUTURE</stp>
        <stp>Mar27</stp>
        <tr r="F224" s="2"/>
      </tp>
    </main>
    <main first="tt.rtd">
      <tp t="e">
        <v>#N/A</v>
        <stp/>
        <stp>Instr</stp>
        <stp>CME</stp>
        <stp>SR1</stp>
        <stp>FUTURE</stp>
        <stp>Oct26</stp>
        <tr r="F157" s="2"/>
      </tp>
      <tp t="e">
        <v>#N/A</v>
        <stp/>
        <stp>Instr</stp>
        <stp>CME</stp>
        <stp>SR1</stp>
        <stp>FUTURE</stp>
        <stp>Oct27</stp>
        <tr r="F169" s="2"/>
      </tp>
    </main>
    <main first="tt.rtd">
      <tp t="e">
        <v>#N/A</v>
        <stp/>
        <stp>Instr</stp>
        <stp>CME</stp>
        <stp>SR3</stp>
        <stp>FUTURE</stp>
        <stp>Oct26</stp>
        <tr r="F19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714375</xdr:colOff>
      <xdr:row>0</xdr:row>
      <xdr:rowOff>161925</xdr:rowOff>
    </xdr:from>
    <xdr:to>
      <xdr:col>7</xdr:col>
      <xdr:colOff>73025</xdr:colOff>
      <xdr:row>2</xdr:row>
      <xdr:rowOff>88900</xdr:rowOff>
    </xdr:to>
    <xdr:sp macro="[0]!TA_Start" textlink="">
      <xdr:nvSpPr>
        <xdr:cNvPr id="2" name="btnStart">
          <a:extLst>
            <a:ext uri="{FF2B5EF4-FFF2-40B4-BE49-F238E27FC236}">
              <a16:creationId xmlns:a16="http://schemas.microsoft.com/office/drawing/2014/main" id="{69E4B38A-F9D5-409C-B494-879C9A4B232B}"/>
            </a:ext>
          </a:extLst>
        </xdr:cNvPr>
        <xdr:cNvSpPr/>
      </xdr:nvSpPr>
      <xdr:spPr>
        <a:xfrm>
          <a:off x="5810250" y="161925"/>
          <a:ext cx="1397000" cy="3556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Start alerts</a:t>
          </a:r>
        </a:p>
      </xdr:txBody>
    </xdr:sp>
    <xdr:clientData/>
  </xdr:twoCellAnchor>
  <xdr:twoCellAnchor>
    <xdr:from>
      <xdr:col>7</xdr:col>
      <xdr:colOff>276225</xdr:colOff>
      <xdr:row>0</xdr:row>
      <xdr:rowOff>142875</xdr:rowOff>
    </xdr:from>
    <xdr:to>
      <xdr:col>9</xdr:col>
      <xdr:colOff>454025</xdr:colOff>
      <xdr:row>2</xdr:row>
      <xdr:rowOff>69850</xdr:rowOff>
    </xdr:to>
    <xdr:sp macro="[0]!TA_Stop" textlink="">
      <xdr:nvSpPr>
        <xdr:cNvPr id="3" name="btnStop">
          <a:extLst>
            <a:ext uri="{FF2B5EF4-FFF2-40B4-BE49-F238E27FC236}">
              <a16:creationId xmlns:a16="http://schemas.microsoft.com/office/drawing/2014/main" id="{CE8AA0A7-56EA-4041-9FB7-A56C1ADFBA2A}"/>
            </a:ext>
          </a:extLst>
        </xdr:cNvPr>
        <xdr:cNvSpPr/>
      </xdr:nvSpPr>
      <xdr:spPr>
        <a:xfrm>
          <a:off x="7410450" y="142875"/>
          <a:ext cx="1397000" cy="355600"/>
        </a:xfrm>
        <a:prstGeom prst="roundRect">
          <a:avLst/>
        </a:prstGeom>
        <a:solidFill>
          <a:srgbClr val="C62828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Stop alerts</a:t>
          </a:r>
        </a:p>
      </xdr:txBody>
    </xdr:sp>
    <xdr:clientData/>
  </xdr:twoCellAnchor>
  <xdr:twoCellAnchor>
    <xdr:from>
      <xdr:col>9</xdr:col>
      <xdr:colOff>600075</xdr:colOff>
      <xdr:row>0</xdr:row>
      <xdr:rowOff>171450</xdr:rowOff>
    </xdr:from>
    <xdr:to>
      <xdr:col>12</xdr:col>
      <xdr:colOff>168275</xdr:colOff>
      <xdr:row>2</xdr:row>
      <xdr:rowOff>98425</xdr:rowOff>
    </xdr:to>
    <xdr:sp macro="[0]!TA_Test" textlink="">
      <xdr:nvSpPr>
        <xdr:cNvPr id="4" name="btnTest">
          <a:extLst>
            <a:ext uri="{FF2B5EF4-FFF2-40B4-BE49-F238E27FC236}">
              <a16:creationId xmlns:a16="http://schemas.microsoft.com/office/drawing/2014/main" id="{FC2DD346-D3CE-468C-9942-72E94B799D50}"/>
            </a:ext>
          </a:extLst>
        </xdr:cNvPr>
        <xdr:cNvSpPr/>
      </xdr:nvSpPr>
      <xdr:spPr>
        <a:xfrm>
          <a:off x="8953500" y="171450"/>
          <a:ext cx="1397000" cy="3556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Send test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56</xdr:row>
      <xdr:rowOff>76200</xdr:rowOff>
    </xdr:from>
    <xdr:to>
      <xdr:col>0</xdr:col>
      <xdr:colOff>8134350</xdr:colOff>
      <xdr:row>80</xdr:row>
      <xdr:rowOff>76865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503F65-4E9B-E443-9BAD-91B815719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0791825"/>
          <a:ext cx="8105775" cy="457266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38</xdr:row>
      <xdr:rowOff>190499</xdr:rowOff>
    </xdr:from>
    <xdr:to>
      <xdr:col>0</xdr:col>
      <xdr:colOff>8705850</xdr:colOff>
      <xdr:row>62</xdr:row>
      <xdr:rowOff>42894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A89E28-F989-FBB8-57F6-98894C757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7496174"/>
          <a:ext cx="8324850" cy="4424395"/>
        </a:xfrm>
        <a:prstGeom prst="rect">
          <a:avLst/>
        </a:prstGeom>
      </xdr:spPr>
    </xdr:pic>
    <xdr:clientData/>
  </xdr:twoCellAnchor>
  <xdr:twoCellAnchor editAs="oneCell">
    <xdr:from>
      <xdr:col>0</xdr:col>
      <xdr:colOff>8534400</xdr:colOff>
      <xdr:row>31</xdr:row>
      <xdr:rowOff>38100</xdr:rowOff>
    </xdr:from>
    <xdr:to>
      <xdr:col>13</xdr:col>
      <xdr:colOff>429861</xdr:colOff>
      <xdr:row>45</xdr:row>
      <xdr:rowOff>152788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3A17A2D-B400-ACD3-75EB-EA031EB8C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0" y="5991225"/>
          <a:ext cx="8859486" cy="2781688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39</xdr:row>
      <xdr:rowOff>171450</xdr:rowOff>
    </xdr:from>
    <xdr:to>
      <xdr:col>4</xdr:col>
      <xdr:colOff>600075</xdr:colOff>
      <xdr:row>41</xdr:row>
      <xdr:rowOff>133350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E73EFAF-DD7B-C476-8745-CBDC7F49CE0E}"/>
            </a:ext>
          </a:extLst>
        </xdr:cNvPr>
        <xdr:cNvSpPr txBox="1"/>
      </xdr:nvSpPr>
      <xdr:spPr>
        <a:xfrm>
          <a:off x="9991725" y="7667625"/>
          <a:ext cx="2085975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</a:t>
          </a:r>
          <a:r>
            <a:rPr lang="en-US" sz="1100" baseline="0"/>
            <a:t> your name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92357A-95C8-4E79-8E0B-156226E7859D}" name="rtd_data" displayName="rtd_data" ref="A3:J403" totalsRowShown="0" headerRowDxfId="11">
  <autoFilter ref="A3:J403" xr:uid="{C692357A-95C8-4E79-8E0B-156226E7859D}"/>
  <tableColumns count="10">
    <tableColumn id="1" xr3:uid="{1FAD8C3B-07D3-4A1D-9EC0-3D729A8CB495}" name="Product" dataDxfId="10">
      <calculatedColumnFormula array="1">IFERROR(INDEX(_xlfn.ANCHORARRAY(contracts!$A$6),ROW()-ROW(rtd_data[#Headers]),1),"")</calculatedColumnFormula>
    </tableColumn>
    <tableColumn id="2" xr3:uid="{2FF9040B-67F0-469E-B4B4-26FCA339611C}" name="Group">
      <calculatedColumnFormula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calculatedColumnFormula>
    </tableColumn>
    <tableColumn id="3" xr3:uid="{59FE722C-0281-40D0-982D-03417E2A30B7}" name="Type">
      <calculatedColumnFormula>IF(rtd_data[[#This Row],[Product]]="","",IF(LEN(TRIM(rtd_data[[#This Row],[Product]]))-LEN(SUBSTITUTE(TRIM(rtd_data[[#This Row],[Product]])," ",""))&gt;=2,"Spread","Future"))</calculatedColumnFormula>
    </tableColumn>
    <tableColumn id="4" xr3:uid="{9AB3C963-FE38-48DF-8F82-EBBAAAEFC40A}" name="Exch">
      <calculatedColumnFormula>IFERROR(INDEX(exch_map[Exch],MATCH(rtd_data[[#This Row],[Group]],exch_map[Group],0)),"")</calculatedColumnFormula>
    </tableColumn>
    <tableColumn id="5" xr3:uid="{6AF44079-E6C8-4A63-BC3E-8A257AE94BA1}" name="Watch" dataDxfId="9">
      <calculatedColumnFormula array="1">IFERROR(INDEX(_xlfn.ANCHORARRAY(contracts!$A$6),ROW()-ROW(rtd_data[#Headers]),2),"")</calculatedColumnFormula>
    </tableColumn>
    <tableColumn id="6" xr3:uid="{D57EB719-E5AC-436A-B358-00100C3F2B47}" name="Inst"/>
    <tableColumn id="7" xr3:uid="{5E4C1A86-BE2D-456A-BD7D-FEE6706A317F}" name="net_position" dataDxfId="8">
      <calculatedColumnFormula>IF(rtd_data[[#This Row],[Inst]]="","",IFERROR(_xlfn.NUMBERVALUE(IF(TA_RTDServer="TT",RTD(stellar_rtd,,rtd_data[[#This Row],[Inst]],"NetPos"),RTD(stellar_rtd,,"POSITION",rtd_data[[#This Row],[Inst]],"net_position"))),""))</calculatedColumnFormula>
    </tableColumn>
    <tableColumn id="8" xr3:uid="{D970500A-D312-4A4F-A675-298998B07A4D}" name="TT_Exch">
      <calculatedColumnFormula>IF(rtd_data[[#This Row],[Exch]]="","",IF(rtd_data[[#This Row],[Exch]]="ICE_L","ICE",rtd_data[[#This Row],[Exch]]))</calculatedColumnFormula>
    </tableColumn>
    <tableColumn id="9" xr3:uid="{3BD6AE7C-735B-4C04-9F8A-F5B1791A7A9D}" name="TT_Symbol">
      <calculatedColumnFormula>IF(rtd_data[[#This Row],[Product]]="","",IFERROR(INDEX(exch_map[TT_Symbol],MATCH(rtd_data[[#This Row],[Group]],exch_map[Group],0))&amp;"",""))</calculatedColumnFormula>
    </tableColumn>
    <tableColumn id="10" xr3:uid="{873AB244-D364-4BE8-9DF0-BF31B39D0218}" name="TT_Expiry">
      <calculatedColumnFormula>IF(rtd_data[[#This Row],[Type]]="Future",PROPER(RIGHT(rtd_data[[#This Row],[Product]],5)),"")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A4726A-7025-4400-97E8-324E7EB8B624}" name="exch_map" displayName="exch_map" ref="A1:F33" totalsRowShown="0" headerRowDxfId="7" dataDxfId="6">
  <autoFilter ref="A1:F33" xr:uid="{9BA4726A-7025-4400-97E8-324E7EB8B624}"/>
  <tableColumns count="6">
    <tableColumn id="1" xr3:uid="{F75CCFEF-9D93-4ECB-97CE-5E27FA0C3AFE}" name="Group" dataDxfId="5"/>
    <tableColumn id="2" xr3:uid="{A7300C2D-9198-4402-B192-D2C9F7CD9676}" name="Exch" dataDxfId="4"/>
    <tableColumn id="3" xr3:uid="{94317289-AB4F-42CA-A0ED-C72D880FCC7B}" name="num_contract" dataDxfId="3"/>
    <tableColumn id="4" xr3:uid="{09A5E128-5690-4DCB-AAF3-6E186436ACB4}" name="Watch" dataDxfId="2"/>
    <tableColumn id="5" xr3:uid="{D6F7A2A6-BB3C-4618-A5DB-2E530ABDC66A}" name="Type" dataDxfId="1"/>
    <tableColumn id="6" xr3:uid="{7F960469-8AFC-4FAD-8B85-C5C10BDD853E}" name="TT_Symbo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42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1D16FC-5FCA-4C40-A117-428F8EC54C53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35fdb778-35f5-4785-bdbc-656fc275633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E4B3-F3AE-4A7E-A2E0-AE3D5350C869}">
  <sheetPr codeName="Sheet1"/>
  <dimension ref="A1:G37"/>
  <sheetViews>
    <sheetView workbookViewId="0">
      <pane ySplit="4" topLeftCell="A5" activePane="bottomLeft" state="frozen"/>
      <selection pane="bottomLeft" activeCell="K11" sqref="K11"/>
    </sheetView>
  </sheetViews>
  <sheetFormatPr defaultRowHeight="15" x14ac:dyDescent="0.25"/>
  <cols>
    <col min="1" max="7" width="15.28515625" customWidth="1"/>
  </cols>
  <sheetData>
    <row r="1" spans="1:7" ht="18.75" x14ac:dyDescent="0.3">
      <c r="A1" s="3" t="s">
        <v>47</v>
      </c>
    </row>
    <row r="2" spans="1:7" x14ac:dyDescent="0.25">
      <c r="A2" s="5" t="s">
        <v>48</v>
      </c>
    </row>
    <row r="4" spans="1:7" x14ac:dyDescent="0.25">
      <c r="A4" s="2" t="s">
        <v>0</v>
      </c>
      <c r="B4" s="2" t="s">
        <v>1</v>
      </c>
      <c r="C4" s="2" t="s">
        <v>49</v>
      </c>
      <c r="D4" s="2" t="s">
        <v>50</v>
      </c>
      <c r="E4" s="2" t="s">
        <v>51</v>
      </c>
      <c r="F4" s="2" t="s">
        <v>52</v>
      </c>
      <c r="G4" s="2" t="s">
        <v>53</v>
      </c>
    </row>
    <row r="5" spans="1:7" x14ac:dyDescent="0.25">
      <c r="A5" s="6" t="str">
        <f>exch_map!A2</f>
        <v>ER3</v>
      </c>
      <c r="B5" s="6" t="str">
        <f>exch_map!B2</f>
        <v>ICE_L</v>
      </c>
      <c r="C5" s="8">
        <f ca="1">COUNTIFS(rtd_data[Group],$A5)</f>
        <v>28</v>
      </c>
      <c r="D5" s="8">
        <f ca="1">COUNTIFS(rtd_data[Group],$A5,rtd_data[Watch],"Y")</f>
        <v>28</v>
      </c>
      <c r="E5" s="8">
        <f ca="1">COUNTIFS(rtd_data[Group],$A5,rtd_data[Inst],"Instrument Not Found")</f>
        <v>0</v>
      </c>
      <c r="F5" s="8" t="e" cm="1">
        <f t="array" aca="1" ref="F5" ca="1">SUMPRODUCT((rtd_data[Group]=$A5)*ISNUMBER(rtd_data[net_position])*(rtd_data[net_position]&lt;&gt;0))</f>
        <v>#N/A</v>
      </c>
      <c r="G5" s="8" t="e">
        <f ca="1">SUMIFS(rtd_data[net_position],rtd_data[Group],$A5)</f>
        <v>#N/A</v>
      </c>
    </row>
    <row r="6" spans="1:7" x14ac:dyDescent="0.25">
      <c r="A6" s="6" t="str">
        <f>exch_map!A3</f>
        <v>I</v>
      </c>
      <c r="B6" s="6" t="str">
        <f>exch_map!B3</f>
        <v>ICE_L</v>
      </c>
      <c r="C6" s="8">
        <f ca="1">COUNTIFS(rtd_data[Group],$A6)</f>
        <v>28</v>
      </c>
      <c r="D6" s="8">
        <f ca="1">COUNTIFS(rtd_data[Group],$A6,rtd_data[Watch],"Y")</f>
        <v>28</v>
      </c>
      <c r="E6" s="8">
        <f ca="1">COUNTIFS(rtd_data[Group],$A6,rtd_data[Inst],"Instrument Not Found")</f>
        <v>0</v>
      </c>
      <c r="F6" s="8" t="e" cm="1">
        <f t="array" aca="1" ref="F6" ca="1">SUMPRODUCT((rtd_data[Group]=$A6)*ISNUMBER(rtd_data[net_position])*(rtd_data[net_position]&lt;&gt;0))</f>
        <v>#N/A</v>
      </c>
      <c r="G6" s="8" t="e">
        <f ca="1">SUMIFS(rtd_data[net_position],rtd_data[Group],$A6)</f>
        <v>#N/A</v>
      </c>
    </row>
    <row r="7" spans="1:7" x14ac:dyDescent="0.25">
      <c r="A7" s="6" t="str">
        <f>exch_map!A4</f>
        <v>I|ER3</v>
      </c>
      <c r="B7" s="6" t="str">
        <f>exch_map!B4</f>
        <v>ICE_L</v>
      </c>
      <c r="C7" s="8">
        <f ca="1">COUNTIFS(rtd_data[Group],$A7)</f>
        <v>28</v>
      </c>
      <c r="D7" s="8">
        <f ca="1">COUNTIFS(rtd_data[Group],$A7,rtd_data[Watch],"Y")</f>
        <v>28</v>
      </c>
      <c r="E7" s="8">
        <f ca="1">COUNTIFS(rtd_data[Group],$A7,rtd_data[Inst],"Instrument Not Found")</f>
        <v>0</v>
      </c>
      <c r="F7" s="8" t="e" cm="1">
        <f t="array" aca="1" ref="F7" ca="1">SUMPRODUCT((rtd_data[Group]=$A7)*ISNUMBER(rtd_data[net_position])*(rtd_data[net_position]&lt;&gt;0))</f>
        <v>#N/A</v>
      </c>
      <c r="G7" s="8">
        <f ca="1">SUMIFS(rtd_data[net_position],rtd_data[Group],$A7)</f>
        <v>0</v>
      </c>
    </row>
    <row r="8" spans="1:7" x14ac:dyDescent="0.25">
      <c r="A8" s="6" t="str">
        <f>exch_map!A5</f>
        <v>MPC</v>
      </c>
      <c r="B8" s="6" t="str">
        <f>exch_map!B5</f>
        <v>ICE_L</v>
      </c>
      <c r="C8" s="8">
        <f ca="1">COUNTIFS(rtd_data[Group],$A8)</f>
        <v>12</v>
      </c>
      <c r="D8" s="8">
        <f ca="1">COUNTIFS(rtd_data[Group],$A8,rtd_data[Watch],"Y")</f>
        <v>12</v>
      </c>
      <c r="E8" s="8">
        <f ca="1">COUNTIFS(rtd_data[Group],$A8,rtd_data[Inst],"Instrument Not Found")</f>
        <v>0</v>
      </c>
      <c r="F8" s="8" t="e" cm="1">
        <f t="array" aca="1" ref="F8" ca="1">SUMPRODUCT((rtd_data[Group]=$A8)*ISNUMBER(rtd_data[net_position])*(rtd_data[net_position]&lt;&gt;0))</f>
        <v>#N/A</v>
      </c>
      <c r="G8" s="8" t="e">
        <f ca="1">SUMIFS(rtd_data[net_position],rtd_data[Group],$A8)</f>
        <v>#N/A</v>
      </c>
    </row>
    <row r="9" spans="1:7" x14ac:dyDescent="0.25">
      <c r="A9" s="6" t="str">
        <f>exch_map!A6</f>
        <v>R</v>
      </c>
      <c r="B9" s="6" t="str">
        <f>exch_map!B6</f>
        <v>ICE_L</v>
      </c>
      <c r="C9" s="8">
        <f ca="1">COUNTIFS(rtd_data[Group],$A9)</f>
        <v>1</v>
      </c>
      <c r="D9" s="8">
        <f ca="1">COUNTIFS(rtd_data[Group],$A9,rtd_data[Watch],"Y")</f>
        <v>1</v>
      </c>
      <c r="E9" s="8">
        <f ca="1">COUNTIFS(rtd_data[Group],$A9,rtd_data[Inst],"Instrument Not Found")</f>
        <v>0</v>
      </c>
      <c r="F9" s="8" t="e" cm="1">
        <f t="array" aca="1" ref="F9" ca="1">SUMPRODUCT((rtd_data[Group]=$A9)*ISNUMBER(rtd_data[net_position])*(rtd_data[net_position]&lt;&gt;0))</f>
        <v>#N/A</v>
      </c>
      <c r="G9" s="8" t="e">
        <f ca="1">SUMIFS(rtd_data[net_position],rtd_data[Group],$A9)</f>
        <v>#N/A</v>
      </c>
    </row>
    <row r="10" spans="1:7" x14ac:dyDescent="0.25">
      <c r="A10" s="6" t="str">
        <f>exch_map!A7</f>
        <v>SA3</v>
      </c>
      <c r="B10" s="6" t="str">
        <f>exch_map!B7</f>
        <v>ICE_L</v>
      </c>
      <c r="C10" s="8">
        <f ca="1">COUNTIFS(rtd_data[Group],$A10)</f>
        <v>12</v>
      </c>
      <c r="D10" s="8">
        <f ca="1">COUNTIFS(rtd_data[Group],$A10,rtd_data[Watch],"Y")</f>
        <v>12</v>
      </c>
      <c r="E10" s="8">
        <f ca="1">COUNTIFS(rtd_data[Group],$A10,rtd_data[Inst],"Instrument Not Found")</f>
        <v>0</v>
      </c>
      <c r="F10" s="8" t="e" cm="1">
        <f t="array" aca="1" ref="F10" ca="1">SUMPRODUCT((rtd_data[Group]=$A10)*ISNUMBER(rtd_data[net_position])*(rtd_data[net_position]&lt;&gt;0))</f>
        <v>#N/A</v>
      </c>
      <c r="G10" s="8" t="e">
        <f ca="1">SUMIFS(rtd_data[net_position],rtd_data[Group],$A10)</f>
        <v>#N/A</v>
      </c>
    </row>
    <row r="11" spans="1:7" x14ac:dyDescent="0.25">
      <c r="A11" s="6" t="str">
        <f>exch_map!A8</f>
        <v>SO3</v>
      </c>
      <c r="B11" s="6" t="str">
        <f>exch_map!B8</f>
        <v>ICE_L</v>
      </c>
      <c r="C11" s="8">
        <f ca="1">COUNTIFS(rtd_data[Group],$A11)</f>
        <v>24</v>
      </c>
      <c r="D11" s="8">
        <f ca="1">COUNTIFS(rtd_data[Group],$A11,rtd_data[Watch],"Y")</f>
        <v>24</v>
      </c>
      <c r="E11" s="8">
        <f ca="1">COUNTIFS(rtd_data[Group],$A11,rtd_data[Inst],"Instrument Not Found")</f>
        <v>0</v>
      </c>
      <c r="F11" s="8" t="e" cm="1">
        <f t="array" aca="1" ref="F11" ca="1">SUMPRODUCT((rtd_data[Group]=$A11)*ISNUMBER(rtd_data[net_position])*(rtd_data[net_position]&lt;&gt;0))</f>
        <v>#N/A</v>
      </c>
      <c r="G11" s="8" t="e">
        <f ca="1">SUMIFS(rtd_data[net_position],rtd_data[Group],$A11)</f>
        <v>#N/A</v>
      </c>
    </row>
    <row r="12" spans="1:7" x14ac:dyDescent="0.25">
      <c r="A12" s="6" t="str">
        <f>exch_map!A9</f>
        <v>FBTP</v>
      </c>
      <c r="B12" s="6" t="str">
        <f>exch_map!B9</f>
        <v>Eurex</v>
      </c>
      <c r="C12" s="8">
        <f ca="1">COUNTIFS(rtd_data[Group],$A12)</f>
        <v>2</v>
      </c>
      <c r="D12" s="8">
        <f ca="1">COUNTIFS(rtd_data[Group],$A12,rtd_data[Watch],"Y")</f>
        <v>2</v>
      </c>
      <c r="E12" s="8">
        <f ca="1">COUNTIFS(rtd_data[Group],$A12,rtd_data[Inst],"Instrument Not Found")</f>
        <v>0</v>
      </c>
      <c r="F12" s="8" t="e" cm="1">
        <f t="array" aca="1" ref="F12" ca="1">SUMPRODUCT((rtd_data[Group]=$A12)*ISNUMBER(rtd_data[net_position])*(rtd_data[net_position]&lt;&gt;0))</f>
        <v>#N/A</v>
      </c>
      <c r="G12" s="8" t="e">
        <f ca="1">SUMIFS(rtd_data[net_position],rtd_data[Group],$A12)</f>
        <v>#N/A</v>
      </c>
    </row>
    <row r="13" spans="1:7" x14ac:dyDescent="0.25">
      <c r="A13" s="6" t="str">
        <f>exch_map!A10</f>
        <v>FBTS</v>
      </c>
      <c r="B13" s="6" t="str">
        <f>exch_map!B10</f>
        <v>Eurex</v>
      </c>
      <c r="C13" s="8">
        <f ca="1">COUNTIFS(rtd_data[Group],$A13)</f>
        <v>2</v>
      </c>
      <c r="D13" s="8">
        <f ca="1">COUNTIFS(rtd_data[Group],$A13,rtd_data[Watch],"Y")</f>
        <v>2</v>
      </c>
      <c r="E13" s="8">
        <f ca="1">COUNTIFS(rtd_data[Group],$A13,rtd_data[Inst],"Instrument Not Found")</f>
        <v>0</v>
      </c>
      <c r="F13" s="8" t="e" cm="1">
        <f t="array" aca="1" ref="F13" ca="1">SUMPRODUCT((rtd_data[Group]=$A13)*ISNUMBER(rtd_data[net_position])*(rtd_data[net_position]&lt;&gt;0))</f>
        <v>#N/A</v>
      </c>
      <c r="G13" s="8" t="e">
        <f ca="1">SUMIFS(rtd_data[net_position],rtd_data[Group],$A13)</f>
        <v>#N/A</v>
      </c>
    </row>
    <row r="14" spans="1:7" x14ac:dyDescent="0.25">
      <c r="A14" s="6" t="str">
        <f>exch_map!A11</f>
        <v>FGBL</v>
      </c>
      <c r="B14" s="6" t="str">
        <f>exch_map!B11</f>
        <v>Eurex</v>
      </c>
      <c r="C14" s="8">
        <f ca="1">COUNTIFS(rtd_data[Group],$A14)</f>
        <v>2</v>
      </c>
      <c r="D14" s="8">
        <f ca="1">COUNTIFS(rtd_data[Group],$A14,rtd_data[Watch],"Y")</f>
        <v>2</v>
      </c>
      <c r="E14" s="8">
        <f ca="1">COUNTIFS(rtd_data[Group],$A14,rtd_data[Inst],"Instrument Not Found")</f>
        <v>0</v>
      </c>
      <c r="F14" s="8" t="e" cm="1">
        <f t="array" aca="1" ref="F14" ca="1">SUMPRODUCT((rtd_data[Group]=$A14)*ISNUMBER(rtd_data[net_position])*(rtd_data[net_position]&lt;&gt;0))</f>
        <v>#N/A</v>
      </c>
      <c r="G14" s="8" t="e">
        <f ca="1">SUMIFS(rtd_data[net_position],rtd_data[Group],$A14)</f>
        <v>#N/A</v>
      </c>
    </row>
    <row r="15" spans="1:7" x14ac:dyDescent="0.25">
      <c r="A15" s="6" t="str">
        <f>exch_map!A12</f>
        <v>FGBM</v>
      </c>
      <c r="B15" s="6" t="str">
        <f>exch_map!B12</f>
        <v>Eurex</v>
      </c>
      <c r="C15" s="8">
        <f ca="1">COUNTIFS(rtd_data[Group],$A15)</f>
        <v>2</v>
      </c>
      <c r="D15" s="8">
        <f ca="1">COUNTIFS(rtd_data[Group],$A15,rtd_data[Watch],"Y")</f>
        <v>2</v>
      </c>
      <c r="E15" s="8">
        <f ca="1">COUNTIFS(rtd_data[Group],$A15,rtd_data[Inst],"Instrument Not Found")</f>
        <v>0</v>
      </c>
      <c r="F15" s="8" t="e" cm="1">
        <f t="array" aca="1" ref="F15" ca="1">SUMPRODUCT((rtd_data[Group]=$A15)*ISNUMBER(rtd_data[net_position])*(rtd_data[net_position]&lt;&gt;0))</f>
        <v>#N/A</v>
      </c>
      <c r="G15" s="8" t="e">
        <f ca="1">SUMIFS(rtd_data[net_position],rtd_data[Group],$A15)</f>
        <v>#N/A</v>
      </c>
    </row>
    <row r="16" spans="1:7" x14ac:dyDescent="0.25">
      <c r="A16" s="6" t="str">
        <f>exch_map!A13</f>
        <v>FGBS</v>
      </c>
      <c r="B16" s="6" t="str">
        <f>exch_map!B13</f>
        <v>Eurex</v>
      </c>
      <c r="C16" s="8">
        <f ca="1">COUNTIFS(rtd_data[Group],$A16)</f>
        <v>2</v>
      </c>
      <c r="D16" s="8">
        <f ca="1">COUNTIFS(rtd_data[Group],$A16,rtd_data[Watch],"Y")</f>
        <v>2</v>
      </c>
      <c r="E16" s="8">
        <f ca="1">COUNTIFS(rtd_data[Group],$A16,rtd_data[Inst],"Instrument Not Found")</f>
        <v>0</v>
      </c>
      <c r="F16" s="8" t="e" cm="1">
        <f t="array" aca="1" ref="F16" ca="1">SUMPRODUCT((rtd_data[Group]=$A16)*ISNUMBER(rtd_data[net_position])*(rtd_data[net_position]&lt;&gt;0))</f>
        <v>#N/A</v>
      </c>
      <c r="G16" s="8" t="e">
        <f ca="1">SUMIFS(rtd_data[net_position],rtd_data[Group],$A16)</f>
        <v>#N/A</v>
      </c>
    </row>
    <row r="17" spans="1:7" x14ac:dyDescent="0.25">
      <c r="A17" s="6" t="str">
        <f>exch_map!A14</f>
        <v>FGBX</v>
      </c>
      <c r="B17" s="6" t="str">
        <f>exch_map!B14</f>
        <v>Eurex</v>
      </c>
      <c r="C17" s="8">
        <f ca="1">COUNTIFS(rtd_data[Group],$A17)</f>
        <v>2</v>
      </c>
      <c r="D17" s="8">
        <f ca="1">COUNTIFS(rtd_data[Group],$A17,rtd_data[Watch],"Y")</f>
        <v>2</v>
      </c>
      <c r="E17" s="8">
        <f ca="1">COUNTIFS(rtd_data[Group],$A17,rtd_data[Inst],"Instrument Not Found")</f>
        <v>0</v>
      </c>
      <c r="F17" s="8" t="e" cm="1">
        <f t="array" aca="1" ref="F17" ca="1">SUMPRODUCT((rtd_data[Group]=$A17)*ISNUMBER(rtd_data[net_position])*(rtd_data[net_position]&lt;&gt;0))</f>
        <v>#N/A</v>
      </c>
      <c r="G17" s="8" t="e">
        <f ca="1">SUMIFS(rtd_data[net_position],rtd_data[Group],$A17)</f>
        <v>#N/A</v>
      </c>
    </row>
    <row r="18" spans="1:7" x14ac:dyDescent="0.25">
      <c r="A18" s="6" t="str">
        <f>exch_map!A15</f>
        <v>FOAT</v>
      </c>
      <c r="B18" s="6" t="str">
        <f>exch_map!B15</f>
        <v>Eurex</v>
      </c>
      <c r="C18" s="8">
        <f ca="1">COUNTIFS(rtd_data[Group],$A18)</f>
        <v>2</v>
      </c>
      <c r="D18" s="8">
        <f ca="1">COUNTIFS(rtd_data[Group],$A18,rtd_data[Watch],"Y")</f>
        <v>2</v>
      </c>
      <c r="E18" s="8">
        <f ca="1">COUNTIFS(rtd_data[Group],$A18,rtd_data[Inst],"Instrument Not Found")</f>
        <v>0</v>
      </c>
      <c r="F18" s="8" t="e" cm="1">
        <f t="array" aca="1" ref="F18" ca="1">SUMPRODUCT((rtd_data[Group]=$A18)*ISNUMBER(rtd_data[net_position])*(rtd_data[net_position]&lt;&gt;0))</f>
        <v>#N/A</v>
      </c>
      <c r="G18" s="8" t="e">
        <f ca="1">SUMIFS(rtd_data[net_position],rtd_data[Group],$A18)</f>
        <v>#N/A</v>
      </c>
    </row>
    <row r="19" spans="1:7" x14ac:dyDescent="0.25">
      <c r="A19" s="6" t="str">
        <f>exch_map!A16</f>
        <v>FVS</v>
      </c>
      <c r="B19" s="6" t="str">
        <f>exch_map!B16</f>
        <v>Eurex</v>
      </c>
      <c r="C19" s="8">
        <f ca="1">COUNTIFS(rtd_data[Group],$A19)</f>
        <v>6</v>
      </c>
      <c r="D19" s="8">
        <f ca="1">COUNTIFS(rtd_data[Group],$A19,rtd_data[Watch],"Y")</f>
        <v>6</v>
      </c>
      <c r="E19" s="8">
        <f ca="1">COUNTIFS(rtd_data[Group],$A19,rtd_data[Inst],"Instrument Not Found")</f>
        <v>0</v>
      </c>
      <c r="F19" s="8" t="e" cm="1">
        <f t="array" aca="1" ref="F19" ca="1">SUMPRODUCT((rtd_data[Group]=$A19)*ISNUMBER(rtd_data[net_position])*(rtd_data[net_position]&lt;&gt;0))</f>
        <v>#N/A</v>
      </c>
      <c r="G19" s="8" t="e">
        <f ca="1">SUMIFS(rtd_data[net_position],rtd_data[Group],$A19)</f>
        <v>#N/A</v>
      </c>
    </row>
    <row r="20" spans="1:7" x14ac:dyDescent="0.25">
      <c r="A20" s="6" t="str">
        <f>exch_map!A17</f>
        <v>SR1</v>
      </c>
      <c r="B20" s="6" t="str">
        <f>exch_map!B17</f>
        <v>CME</v>
      </c>
      <c r="C20" s="8">
        <f ca="1">COUNTIFS(rtd_data[Group],$A20)</f>
        <v>18</v>
      </c>
      <c r="D20" s="8">
        <f ca="1">COUNTIFS(rtd_data[Group],$A20,rtd_data[Watch],"Y")</f>
        <v>18</v>
      </c>
      <c r="E20" s="8">
        <f ca="1">COUNTIFS(rtd_data[Group],$A20,rtd_data[Inst],"Instrument Not Found")</f>
        <v>0</v>
      </c>
      <c r="F20" s="8" t="e" cm="1">
        <f t="array" aca="1" ref="F20" ca="1">SUMPRODUCT((rtd_data[Group]=$A20)*ISNUMBER(rtd_data[net_position])*(rtd_data[net_position]&lt;&gt;0))</f>
        <v>#N/A</v>
      </c>
      <c r="G20" s="8" t="e">
        <f ca="1">SUMIFS(rtd_data[net_position],rtd_data[Group],$A20)</f>
        <v>#N/A</v>
      </c>
    </row>
    <row r="21" spans="1:7" x14ac:dyDescent="0.25">
      <c r="A21" s="6" t="str">
        <f>exch_map!A18</f>
        <v>SR1|ZQ</v>
      </c>
      <c r="B21" s="6" t="str">
        <f>exch_map!B18</f>
        <v>CME</v>
      </c>
      <c r="C21" s="8">
        <f ca="1">COUNTIFS(rtd_data[Group],$A21)</f>
        <v>18</v>
      </c>
      <c r="D21" s="8">
        <f ca="1">COUNTIFS(rtd_data[Group],$A21,rtd_data[Watch],"Y")</f>
        <v>18</v>
      </c>
      <c r="E21" s="8">
        <f ca="1">COUNTIFS(rtd_data[Group],$A21,rtd_data[Inst],"Instrument Not Found")</f>
        <v>0</v>
      </c>
      <c r="F21" s="8" t="e" cm="1">
        <f t="array" aca="1" ref="F21" ca="1">SUMPRODUCT((rtd_data[Group]=$A21)*ISNUMBER(rtd_data[net_position])*(rtd_data[net_position]&lt;&gt;0))</f>
        <v>#N/A</v>
      </c>
      <c r="G21" s="8">
        <f ca="1">SUMIFS(rtd_data[net_position],rtd_data[Group],$A21)</f>
        <v>0</v>
      </c>
    </row>
    <row r="22" spans="1:7" x14ac:dyDescent="0.25">
      <c r="A22" s="6" t="str">
        <f>exch_map!A19</f>
        <v>SR3</v>
      </c>
      <c r="B22" s="6" t="str">
        <f>exch_map!B19</f>
        <v>CME</v>
      </c>
      <c r="C22" s="8">
        <f ca="1">COUNTIFS(rtd_data[Group],$A22)</f>
        <v>28</v>
      </c>
      <c r="D22" s="8">
        <f ca="1">COUNTIFS(rtd_data[Group],$A22,rtd_data[Watch],"Y")</f>
        <v>28</v>
      </c>
      <c r="E22" s="8">
        <f ca="1">COUNTIFS(rtd_data[Group],$A22,rtd_data[Inst],"Instrument Not Found")</f>
        <v>0</v>
      </c>
      <c r="F22" s="8" t="e" cm="1">
        <f t="array" aca="1" ref="F22" ca="1">SUMPRODUCT((rtd_data[Group]=$A22)*ISNUMBER(rtd_data[net_position])*(rtd_data[net_position]&lt;&gt;0))</f>
        <v>#N/A</v>
      </c>
      <c r="G22" s="8" t="e">
        <f ca="1">SUMIFS(rtd_data[net_position],rtd_data[Group],$A22)</f>
        <v>#N/A</v>
      </c>
    </row>
    <row r="23" spans="1:7" x14ac:dyDescent="0.25">
      <c r="A23" s="6" t="str">
        <f>exch_map!A20</f>
        <v>TN</v>
      </c>
      <c r="B23" s="6" t="str">
        <f>exch_map!B20</f>
        <v>CME</v>
      </c>
      <c r="C23" s="8">
        <f ca="1">COUNTIFS(rtd_data[Group],$A23)</f>
        <v>2</v>
      </c>
      <c r="D23" s="8">
        <f ca="1">COUNTIFS(rtd_data[Group],$A23,rtd_data[Watch],"Y")</f>
        <v>2</v>
      </c>
      <c r="E23" s="8">
        <f ca="1">COUNTIFS(rtd_data[Group],$A23,rtd_data[Inst],"Instrument Not Found")</f>
        <v>0</v>
      </c>
      <c r="F23" s="8" t="e" cm="1">
        <f t="array" aca="1" ref="F23" ca="1">SUMPRODUCT((rtd_data[Group]=$A23)*ISNUMBER(rtd_data[net_position])*(rtd_data[net_position]&lt;&gt;0))</f>
        <v>#N/A</v>
      </c>
      <c r="G23" s="8" t="e">
        <f ca="1">SUMIFS(rtd_data[net_position],rtd_data[Group],$A23)</f>
        <v>#N/A</v>
      </c>
    </row>
    <row r="24" spans="1:7" x14ac:dyDescent="0.25">
      <c r="A24" s="6" t="str">
        <f>exch_map!A21</f>
        <v>TWE</v>
      </c>
      <c r="B24" s="6" t="str">
        <f>exch_map!B21</f>
        <v>CME</v>
      </c>
      <c r="C24" s="8">
        <f ca="1">COUNTIFS(rtd_data[Group],$A24)</f>
        <v>2</v>
      </c>
      <c r="D24" s="8">
        <f ca="1">COUNTIFS(rtd_data[Group],$A24,rtd_data[Watch],"Y")</f>
        <v>2</v>
      </c>
      <c r="E24" s="8">
        <f ca="1">COUNTIFS(rtd_data[Group],$A24,rtd_data[Inst],"Instrument Not Found")</f>
        <v>0</v>
      </c>
      <c r="F24" s="8" t="e" cm="1">
        <f t="array" aca="1" ref="F24" ca="1">SUMPRODUCT((rtd_data[Group]=$A24)*ISNUMBER(rtd_data[net_position])*(rtd_data[net_position]&lt;&gt;0))</f>
        <v>#N/A</v>
      </c>
      <c r="G24" s="8" t="e">
        <f ca="1">SUMIFS(rtd_data[net_position],rtd_data[Group],$A24)</f>
        <v>#N/A</v>
      </c>
    </row>
    <row r="25" spans="1:7" x14ac:dyDescent="0.25">
      <c r="A25" s="6" t="str">
        <f>exch_map!A22</f>
        <v>UB</v>
      </c>
      <c r="B25" s="6" t="str">
        <f>exch_map!B22</f>
        <v>CME</v>
      </c>
      <c r="C25" s="8">
        <f ca="1">COUNTIFS(rtd_data[Group],$A25)</f>
        <v>2</v>
      </c>
      <c r="D25" s="8">
        <f ca="1">COUNTIFS(rtd_data[Group],$A25,rtd_data[Watch],"Y")</f>
        <v>2</v>
      </c>
      <c r="E25" s="8">
        <f ca="1">COUNTIFS(rtd_data[Group],$A25,rtd_data[Inst],"Instrument Not Found")</f>
        <v>0</v>
      </c>
      <c r="F25" s="8" t="e" cm="1">
        <f t="array" aca="1" ref="F25" ca="1">SUMPRODUCT((rtd_data[Group]=$A25)*ISNUMBER(rtd_data[net_position])*(rtd_data[net_position]&lt;&gt;0))</f>
        <v>#N/A</v>
      </c>
      <c r="G25" s="8" t="e">
        <f ca="1">SUMIFS(rtd_data[net_position],rtd_data[Group],$A25)</f>
        <v>#N/A</v>
      </c>
    </row>
    <row r="26" spans="1:7" x14ac:dyDescent="0.25">
      <c r="A26" s="6" t="str">
        <f>exch_map!A23</f>
        <v>US</v>
      </c>
      <c r="B26" s="6" t="str">
        <f>exch_map!B23</f>
        <v>CME</v>
      </c>
      <c r="C26" s="8">
        <f ca="1">COUNTIFS(rtd_data[Group],$A26)</f>
        <v>2</v>
      </c>
      <c r="D26" s="8">
        <f ca="1">COUNTIFS(rtd_data[Group],$A26,rtd_data[Watch],"Y")</f>
        <v>2</v>
      </c>
      <c r="E26" s="8">
        <f ca="1">COUNTIFS(rtd_data[Group],$A26,rtd_data[Inst],"Instrument Not Found")</f>
        <v>0</v>
      </c>
      <c r="F26" s="8" t="e" cm="1">
        <f t="array" aca="1" ref="F26" ca="1">SUMPRODUCT((rtd_data[Group]=$A26)*ISNUMBER(rtd_data[net_position])*(rtd_data[net_position]&lt;&gt;0))</f>
        <v>#N/A</v>
      </c>
      <c r="G26" s="8" t="e">
        <f ca="1">SUMIFS(rtd_data[net_position],rtd_data[Group],$A26)</f>
        <v>#N/A</v>
      </c>
    </row>
    <row r="27" spans="1:7" x14ac:dyDescent="0.25">
      <c r="A27" s="6" t="str">
        <f>exch_map!A24</f>
        <v>Z3N</v>
      </c>
      <c r="B27" s="6" t="str">
        <f>exch_map!B24</f>
        <v>CME</v>
      </c>
      <c r="C27" s="8">
        <f ca="1">COUNTIFS(rtd_data[Group],$A27)</f>
        <v>2</v>
      </c>
      <c r="D27" s="8">
        <f ca="1">COUNTIFS(rtd_data[Group],$A27,rtd_data[Watch],"Y")</f>
        <v>2</v>
      </c>
      <c r="E27" s="8">
        <f ca="1">COUNTIFS(rtd_data[Group],$A27,rtd_data[Inst],"Instrument Not Found")</f>
        <v>0</v>
      </c>
      <c r="F27" s="8" t="e" cm="1">
        <f t="array" aca="1" ref="F27" ca="1">SUMPRODUCT((rtd_data[Group]=$A27)*ISNUMBER(rtd_data[net_position])*(rtd_data[net_position]&lt;&gt;0))</f>
        <v>#N/A</v>
      </c>
      <c r="G27" s="8" t="e">
        <f ca="1">SUMIFS(rtd_data[net_position],rtd_data[Group],$A27)</f>
        <v>#N/A</v>
      </c>
    </row>
    <row r="28" spans="1:7" x14ac:dyDescent="0.25">
      <c r="A28" s="6" t="str">
        <f>exch_map!A25</f>
        <v>ZF</v>
      </c>
      <c r="B28" s="6" t="str">
        <f>exch_map!B25</f>
        <v>CME</v>
      </c>
      <c r="C28" s="8">
        <f ca="1">COUNTIFS(rtd_data[Group],$A28)</f>
        <v>2</v>
      </c>
      <c r="D28" s="8">
        <f ca="1">COUNTIFS(rtd_data[Group],$A28,rtd_data[Watch],"Y")</f>
        <v>2</v>
      </c>
      <c r="E28" s="8">
        <f ca="1">COUNTIFS(rtd_data[Group],$A28,rtd_data[Inst],"Instrument Not Found")</f>
        <v>0</v>
      </c>
      <c r="F28" s="8" t="e" cm="1">
        <f t="array" aca="1" ref="F28" ca="1">SUMPRODUCT((rtd_data[Group]=$A28)*ISNUMBER(rtd_data[net_position])*(rtd_data[net_position]&lt;&gt;0))</f>
        <v>#N/A</v>
      </c>
      <c r="G28" s="8" t="e">
        <f ca="1">SUMIFS(rtd_data[net_position],rtd_data[Group],$A28)</f>
        <v>#N/A</v>
      </c>
    </row>
    <row r="29" spans="1:7" x14ac:dyDescent="0.25">
      <c r="A29" s="6" t="str">
        <f>exch_map!A26</f>
        <v>ZN</v>
      </c>
      <c r="B29" s="6" t="str">
        <f>exch_map!B26</f>
        <v>CME</v>
      </c>
      <c r="C29" s="8">
        <f ca="1">COUNTIFS(rtd_data[Group],$A29)</f>
        <v>2</v>
      </c>
      <c r="D29" s="8">
        <f ca="1">COUNTIFS(rtd_data[Group],$A29,rtd_data[Watch],"Y")</f>
        <v>2</v>
      </c>
      <c r="E29" s="8">
        <f ca="1">COUNTIFS(rtd_data[Group],$A29,rtd_data[Inst],"Instrument Not Found")</f>
        <v>0</v>
      </c>
      <c r="F29" s="8" t="e" cm="1">
        <f t="array" aca="1" ref="F29" ca="1">SUMPRODUCT((rtd_data[Group]=$A29)*ISNUMBER(rtd_data[net_position])*(rtd_data[net_position]&lt;&gt;0))</f>
        <v>#N/A</v>
      </c>
      <c r="G29" s="8" t="e">
        <f ca="1">SUMIFS(rtd_data[net_position],rtd_data[Group],$A29)</f>
        <v>#N/A</v>
      </c>
    </row>
    <row r="30" spans="1:7" x14ac:dyDescent="0.25">
      <c r="A30" s="6" t="str">
        <f>exch_map!A27</f>
        <v>ZQ</v>
      </c>
      <c r="B30" s="6" t="str">
        <f>exch_map!B27</f>
        <v>CME</v>
      </c>
      <c r="C30" s="8">
        <f ca="1">COUNTIFS(rtd_data[Group],$A30)</f>
        <v>2</v>
      </c>
      <c r="D30" s="8">
        <f ca="1">COUNTIFS(rtd_data[Group],$A30,rtd_data[Watch],"Y")</f>
        <v>2</v>
      </c>
      <c r="E30" s="8">
        <f ca="1">COUNTIFS(rtd_data[Group],$A30,rtd_data[Inst],"Instrument Not Found")</f>
        <v>0</v>
      </c>
      <c r="F30" s="8" t="e" cm="1">
        <f t="array" aca="1" ref="F30" ca="1">SUMPRODUCT((rtd_data[Group]=$A30)*ISNUMBER(rtd_data[net_position])*(rtd_data[net_position]&lt;&gt;0))</f>
        <v>#N/A</v>
      </c>
      <c r="G30" s="8" t="e">
        <f ca="1">SUMIFS(rtd_data[net_position],rtd_data[Group],$A30)</f>
        <v>#N/A</v>
      </c>
    </row>
    <row r="31" spans="1:7" x14ac:dyDescent="0.25">
      <c r="A31" s="6" t="str">
        <f>exch_map!A28</f>
        <v>ZT</v>
      </c>
      <c r="B31" s="6" t="str">
        <f>exch_map!B28</f>
        <v>CME</v>
      </c>
      <c r="C31" s="8">
        <f ca="1">COUNTIFS(rtd_data[Group],$A31)</f>
        <v>2</v>
      </c>
      <c r="D31" s="8">
        <f ca="1">COUNTIFS(rtd_data[Group],$A31,rtd_data[Watch],"Y")</f>
        <v>2</v>
      </c>
      <c r="E31" s="8">
        <f ca="1">COUNTIFS(rtd_data[Group],$A31,rtd_data[Inst],"Instrument Not Found")</f>
        <v>0</v>
      </c>
      <c r="F31" s="8" t="e" cm="1">
        <f t="array" aca="1" ref="F31" ca="1">SUMPRODUCT((rtd_data[Group]=$A31)*ISNUMBER(rtd_data[net_position])*(rtd_data[net_position]&lt;&gt;0))</f>
        <v>#N/A</v>
      </c>
      <c r="G31" s="8" t="e">
        <f ca="1">SUMIFS(rtd_data[net_position],rtd_data[Group],$A31)</f>
        <v>#N/A</v>
      </c>
    </row>
    <row r="32" spans="1:7" x14ac:dyDescent="0.25">
      <c r="A32" s="6" t="str">
        <f>exch_map!A29</f>
        <v>VX</v>
      </c>
      <c r="B32" s="6" t="str">
        <f>exch_map!B29</f>
        <v>CFE</v>
      </c>
      <c r="C32" s="8">
        <f ca="1">COUNTIFS(rtd_data[Group],$A32)</f>
        <v>2</v>
      </c>
      <c r="D32" s="8">
        <f ca="1">COUNTIFS(rtd_data[Group],$A32,rtd_data[Watch],"Y")</f>
        <v>2</v>
      </c>
      <c r="E32" s="8">
        <f ca="1">COUNTIFS(rtd_data[Group],$A32,rtd_data[Inst],"Instrument Not Found")</f>
        <v>0</v>
      </c>
      <c r="F32" s="8" t="e" cm="1">
        <f t="array" aca="1" ref="F32" ca="1">SUMPRODUCT((rtd_data[Group]=$A32)*ISNUMBER(rtd_data[net_position])*(rtd_data[net_position]&lt;&gt;0))</f>
        <v>#N/A</v>
      </c>
      <c r="G32" s="8" t="e">
        <f ca="1">SUMIFS(rtd_data[net_position],rtd_data[Group],$A32)</f>
        <v>#N/A</v>
      </c>
    </row>
    <row r="33" spans="1:7" x14ac:dyDescent="0.25">
      <c r="A33" s="6" t="str">
        <f>exch_map!A30</f>
        <v>IR</v>
      </c>
      <c r="B33" s="6" t="str">
        <f>exch_map!B30</f>
        <v>ASX</v>
      </c>
      <c r="C33" s="8">
        <f ca="1">COUNTIFS(rtd_data[Group],$A33)</f>
        <v>16</v>
      </c>
      <c r="D33" s="8">
        <f ca="1">COUNTIFS(rtd_data[Group],$A33,rtd_data[Watch],"Y")</f>
        <v>16</v>
      </c>
      <c r="E33" s="8">
        <f ca="1">COUNTIFS(rtd_data[Group],$A33,rtd_data[Inst],"Instrument Not Found")</f>
        <v>0</v>
      </c>
      <c r="F33" s="8" t="e" cm="1">
        <f t="array" aca="1" ref="F33" ca="1">SUMPRODUCT((rtd_data[Group]=$A33)*ISNUMBER(rtd_data[net_position])*(rtd_data[net_position]&lt;&gt;0))</f>
        <v>#N/A</v>
      </c>
      <c r="G33" s="8" t="e">
        <f ca="1">SUMIFS(rtd_data[net_position],rtd_data[Group],$A33)</f>
        <v>#N/A</v>
      </c>
    </row>
    <row r="34" spans="1:7" x14ac:dyDescent="0.25">
      <c r="A34" s="6" t="str">
        <f>exch_map!A31</f>
        <v>VT</v>
      </c>
      <c r="B34" s="6" t="str">
        <f>exch_map!B31</f>
        <v>ASX</v>
      </c>
      <c r="C34" s="8">
        <f ca="1">COUNTIFS(rtd_data[Group],$A34)</f>
        <v>2</v>
      </c>
      <c r="D34" s="8">
        <f ca="1">COUNTIFS(rtd_data[Group],$A34,rtd_data[Watch],"Y")</f>
        <v>0</v>
      </c>
      <c r="E34" s="8">
        <f ca="1">COUNTIFS(rtd_data[Group],$A34,rtd_data[Inst],"Instrument Not Found")</f>
        <v>0</v>
      </c>
      <c r="F34" s="8" t="e" cm="1">
        <f t="array" aca="1" ref="F34" ca="1">SUMPRODUCT((rtd_data[Group]=$A34)*ISNUMBER(rtd_data[net_position])*(rtd_data[net_position]&lt;&gt;0))</f>
        <v>#N/A</v>
      </c>
      <c r="G34" s="8">
        <f ca="1">SUMIFS(rtd_data[net_position],rtd_data[Group],$A34)</f>
        <v>0</v>
      </c>
    </row>
    <row r="35" spans="1:7" x14ac:dyDescent="0.25">
      <c r="A35" s="6" t="str">
        <f>exch_map!A32</f>
        <v>XT</v>
      </c>
      <c r="B35" s="6" t="str">
        <f>exch_map!B32</f>
        <v>ASX</v>
      </c>
      <c r="C35" s="8">
        <f ca="1">COUNTIFS(rtd_data[Group],$A35)</f>
        <v>2</v>
      </c>
      <c r="D35" s="8">
        <f ca="1">COUNTIFS(rtd_data[Group],$A35,rtd_data[Watch],"Y")</f>
        <v>2</v>
      </c>
      <c r="E35" s="8">
        <f ca="1">COUNTIFS(rtd_data[Group],$A35,rtd_data[Inst],"Instrument Not Found")</f>
        <v>0</v>
      </c>
      <c r="F35" s="8" t="e" cm="1">
        <f t="array" aca="1" ref="F35" ca="1">SUMPRODUCT((rtd_data[Group]=$A35)*ISNUMBER(rtd_data[net_position])*(rtd_data[net_position]&lt;&gt;0))</f>
        <v>#N/A</v>
      </c>
      <c r="G35" s="8" t="e">
        <f ca="1">SUMIFS(rtd_data[net_position],rtd_data[Group],$A35)</f>
        <v>#N/A</v>
      </c>
    </row>
    <row r="36" spans="1:7" x14ac:dyDescent="0.25">
      <c r="A36" s="6" t="str">
        <f>exch_map!A33</f>
        <v>YT</v>
      </c>
      <c r="B36" s="6" t="str">
        <f>exch_map!B33</f>
        <v>ASX</v>
      </c>
      <c r="C36" s="8">
        <f ca="1">COUNTIFS(rtd_data[Group],$A36)</f>
        <v>2</v>
      </c>
      <c r="D36" s="8">
        <f ca="1">COUNTIFS(rtd_data[Group],$A36,rtd_data[Watch],"Y")</f>
        <v>2</v>
      </c>
      <c r="E36" s="8">
        <f ca="1">COUNTIFS(rtd_data[Group],$A36,rtd_data[Inst],"Instrument Not Found")</f>
        <v>0</v>
      </c>
      <c r="F36" s="8" t="e" cm="1">
        <f t="array" aca="1" ref="F36" ca="1">SUMPRODUCT((rtd_data[Group]=$A36)*ISNUMBER(rtd_data[net_position])*(rtd_data[net_position]&lt;&gt;0))</f>
        <v>#N/A</v>
      </c>
      <c r="G36" s="8" t="e">
        <f ca="1">SUMIFS(rtd_data[net_position],rtd_data[Group],$A36)</f>
        <v>#N/A</v>
      </c>
    </row>
    <row r="37" spans="1:7" x14ac:dyDescent="0.25">
      <c r="A37" s="7" t="s">
        <v>54</v>
      </c>
      <c r="B37" s="7"/>
      <c r="C37" s="9">
        <f ca="1">SUM(C5:C36)</f>
        <v>259</v>
      </c>
      <c r="D37" s="9">
        <f ca="1">SUM(D5:D36)</f>
        <v>257</v>
      </c>
      <c r="E37" s="9">
        <f ca="1">SUM(E5:E36)</f>
        <v>0</v>
      </c>
      <c r="F37" s="9" t="e">
        <f ca="1">SUM(F5:F36)</f>
        <v>#N/A</v>
      </c>
      <c r="G37" s="9" t="e">
        <f ca="1">SUM(G5:G36)</f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C290B-6193-48D6-B6CD-CEF8BD042AF6}">
  <sheetPr codeName="Sheet2"/>
  <dimension ref="A1:J403"/>
  <sheetViews>
    <sheetView workbookViewId="0">
      <pane ySplit="3" topLeftCell="A4" activePane="bottomLeft" state="frozen"/>
      <selection pane="bottomLeft" activeCell="L14" sqref="L14"/>
    </sheetView>
  </sheetViews>
  <sheetFormatPr defaultRowHeight="15" x14ac:dyDescent="0.25"/>
  <cols>
    <col min="1" max="1" width="38.140625" customWidth="1"/>
    <col min="2" max="2" width="11.42578125" customWidth="1"/>
    <col min="3" max="4" width="10.42578125" customWidth="1"/>
    <col min="6" max="6" width="24.7109375" customWidth="1"/>
    <col min="7" max="7" width="15.28515625" customWidth="1"/>
    <col min="8" max="10" width="13.28515625" customWidth="1"/>
  </cols>
  <sheetData>
    <row r="1" spans="1:10" ht="18.75" x14ac:dyDescent="0.3">
      <c r="A1" s="3" t="s">
        <v>39</v>
      </c>
    </row>
    <row r="2" spans="1:10" x14ac:dyDescent="0.25">
      <c r="A2" s="1" t="str">
        <f>IF(TA_RTDServer="TT","tt.rtd","ngmd.rtdserver")</f>
        <v>tt.rtd</v>
      </c>
      <c r="B2" s="4" t="s">
        <v>40</v>
      </c>
      <c r="C2" t="str">
        <f>IF(TA_RTDServer="TT","TT server (no status topic)",RTD(stellar_rtd,,"LS_START",1))</f>
        <v>TT server (no status topic)</v>
      </c>
      <c r="E2" s="4" t="s">
        <v>158</v>
      </c>
      <c r="F2" t="str">
        <f ca="1">IF(contracts!$B$4&gt;ROWS(rtd_data[Product]),"TABLE TOO SMALL - add rows",contracts!$B$4&amp;" of "&amp;ROWS(rtd_data[Product])&amp;" used")</f>
        <v>259 of 400 used</v>
      </c>
    </row>
    <row r="3" spans="1:10" x14ac:dyDescent="0.25">
      <c r="A3" s="2" t="s">
        <v>41</v>
      </c>
      <c r="B3" s="2" t="s">
        <v>0</v>
      </c>
      <c r="C3" s="2" t="s">
        <v>42</v>
      </c>
      <c r="D3" s="2" t="s">
        <v>1</v>
      </c>
      <c r="E3" s="2" t="s">
        <v>43</v>
      </c>
      <c r="F3" s="2" t="s">
        <v>44</v>
      </c>
      <c r="G3" s="2" t="s">
        <v>45</v>
      </c>
      <c r="H3" s="2" t="s">
        <v>192</v>
      </c>
      <c r="I3" s="2" t="s">
        <v>193</v>
      </c>
      <c r="J3" s="2" t="s">
        <v>195</v>
      </c>
    </row>
    <row r="4" spans="1:10" x14ac:dyDescent="0.25">
      <c r="A4" s="11" t="str" cm="1">
        <f t="array" aca="1" ref="A4" ca="1">IFERROR(INDEX(_xlfn.ANCHORARRAY(contracts!$A$6),ROW()-ROW(rtd_data[#Headers]),1),"")</f>
        <v>ER3 OCT26</v>
      </c>
      <c r="B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4" t="str">
        <f ca="1">IF(rtd_data[[#This Row],[Product]]="","",IF(LEN(TRIM(rtd_data[[#This Row],[Product]]))-LEN(SUBSTITUTE(TRIM(rtd_data[[#This Row],[Product]])," ",""))&gt;=2,"Spread","Future"))</f>
        <v>Future</v>
      </c>
      <c r="D4" t="str">
        <f ca="1">IFERROR(INDEX(exch_map[Exch],MATCH(rtd_data[[#This Row],[Group]],exch_map[Group],0)),"")</f>
        <v>ICE_L</v>
      </c>
      <c r="E4" s="11" t="str" cm="1">
        <f t="array" aca="1" ref="E4" ca="1">IFERROR(INDEX(_xlfn.ANCHORARRAY(contracts!$A$6),ROW()-ROW(rtd_data[#Headers]),2),"")</f>
        <v>Y</v>
      </c>
      <c r="F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" t="str">
        <f ca="1">IF(rtd_data[[#This Row],[Exch]]="","",IF(rtd_data[[#This Row],[Exch]]="ICE_L","ICE",rtd_data[[#This Row],[Exch]]))</f>
        <v>ICE</v>
      </c>
      <c r="I4" t="str">
        <f ca="1">IF(rtd_data[[#This Row],[Product]]="","",IFERROR(INDEX(exch_map[TT_Symbol],MATCH(rtd_data[[#This Row],[Group]],exch_map[Group],0))&amp;"",""))</f>
        <v>ER3</v>
      </c>
      <c r="J4" t="str">
        <f ca="1">IF(rtd_data[[#This Row],[Type]]="Future",PROPER(RIGHT(rtd_data[[#This Row],[Product]],5)),"")</f>
        <v>Oct26</v>
      </c>
    </row>
    <row r="5" spans="1:10" x14ac:dyDescent="0.25">
      <c r="A5" s="11" t="str" cm="1">
        <f t="array" aca="1" ref="A5" ca="1">IFERROR(INDEX(_xlfn.ANCHORARRAY(contracts!$A$6),ROW()-ROW(rtd_data[#Headers]),1),"")</f>
        <v>ER3 NOV26</v>
      </c>
      <c r="B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5" t="str">
        <f ca="1">IF(rtd_data[[#This Row],[Product]]="","",IF(LEN(TRIM(rtd_data[[#This Row],[Product]]))-LEN(SUBSTITUTE(TRIM(rtd_data[[#This Row],[Product]])," ",""))&gt;=2,"Spread","Future"))</f>
        <v>Future</v>
      </c>
      <c r="D5" t="str">
        <f ca="1">IFERROR(INDEX(exch_map[Exch],MATCH(rtd_data[[#This Row],[Group]],exch_map[Group],0)),"")</f>
        <v>ICE_L</v>
      </c>
      <c r="E5" s="11" t="str" cm="1">
        <f t="array" aca="1" ref="E5" ca="1">IFERROR(INDEX(_xlfn.ANCHORARRAY(contracts!$A$6),ROW()-ROW(rtd_data[#Headers]),2),"")</f>
        <v>Y</v>
      </c>
      <c r="F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" t="str">
        <f ca="1">IF(rtd_data[[#This Row],[Exch]]="","",IF(rtd_data[[#This Row],[Exch]]="ICE_L","ICE",rtd_data[[#This Row],[Exch]]))</f>
        <v>ICE</v>
      </c>
      <c r="I5" t="str">
        <f ca="1">IF(rtd_data[[#This Row],[Product]]="","",IFERROR(INDEX(exch_map[TT_Symbol],MATCH(rtd_data[[#This Row],[Group]],exch_map[Group],0))&amp;"",""))</f>
        <v>ER3</v>
      </c>
      <c r="J5" t="str">
        <f ca="1">IF(rtd_data[[#This Row],[Type]]="Future",PROPER(RIGHT(rtd_data[[#This Row],[Product]],5)),"")</f>
        <v>Nov26</v>
      </c>
    </row>
    <row r="6" spans="1:10" x14ac:dyDescent="0.25">
      <c r="A6" s="11" t="str" cm="1">
        <f t="array" aca="1" ref="A6" ca="1">IFERROR(INDEX(_xlfn.ANCHORARRAY(contracts!$A$6),ROW()-ROW(rtd_data[#Headers]),1),"")</f>
        <v>ER3 DEC26</v>
      </c>
      <c r="B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6" t="str">
        <f ca="1">IF(rtd_data[[#This Row],[Product]]="","",IF(LEN(TRIM(rtd_data[[#This Row],[Product]]))-LEN(SUBSTITUTE(TRIM(rtd_data[[#This Row],[Product]])," ",""))&gt;=2,"Spread","Future"))</f>
        <v>Future</v>
      </c>
      <c r="D6" t="str">
        <f ca="1">IFERROR(INDEX(exch_map[Exch],MATCH(rtd_data[[#This Row],[Group]],exch_map[Group],0)),"")</f>
        <v>ICE_L</v>
      </c>
      <c r="E6" s="11" t="str" cm="1">
        <f t="array" aca="1" ref="E6" ca="1">IFERROR(INDEX(_xlfn.ANCHORARRAY(contracts!$A$6),ROW()-ROW(rtd_data[#Headers]),2),"")</f>
        <v>Y</v>
      </c>
      <c r="F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6" t="str">
        <f ca="1">IF(rtd_data[[#This Row],[Exch]]="","",IF(rtd_data[[#This Row],[Exch]]="ICE_L","ICE",rtd_data[[#This Row],[Exch]]))</f>
        <v>ICE</v>
      </c>
      <c r="I6" t="str">
        <f ca="1">IF(rtd_data[[#This Row],[Product]]="","",IFERROR(INDEX(exch_map[TT_Symbol],MATCH(rtd_data[[#This Row],[Group]],exch_map[Group],0))&amp;"",""))</f>
        <v>ER3</v>
      </c>
      <c r="J6" t="str">
        <f ca="1">IF(rtd_data[[#This Row],[Type]]="Future",PROPER(RIGHT(rtd_data[[#This Row],[Product]],5)),"")</f>
        <v>Dec26</v>
      </c>
    </row>
    <row r="7" spans="1:10" x14ac:dyDescent="0.25">
      <c r="A7" s="11" t="str" cm="1">
        <f t="array" aca="1" ref="A7" ca="1">IFERROR(INDEX(_xlfn.ANCHORARRAY(contracts!$A$6),ROW()-ROW(rtd_data[#Headers]),1),"")</f>
        <v>ER3 JAN27</v>
      </c>
      <c r="B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7" t="str">
        <f ca="1">IF(rtd_data[[#This Row],[Product]]="","",IF(LEN(TRIM(rtd_data[[#This Row],[Product]]))-LEN(SUBSTITUTE(TRIM(rtd_data[[#This Row],[Product]])," ",""))&gt;=2,"Spread","Future"))</f>
        <v>Future</v>
      </c>
      <c r="D7" t="str">
        <f ca="1">IFERROR(INDEX(exch_map[Exch],MATCH(rtd_data[[#This Row],[Group]],exch_map[Group],0)),"")</f>
        <v>ICE_L</v>
      </c>
      <c r="E7" s="11" t="str" cm="1">
        <f t="array" aca="1" ref="E7" ca="1">IFERROR(INDEX(_xlfn.ANCHORARRAY(contracts!$A$6),ROW()-ROW(rtd_data[#Headers]),2),"")</f>
        <v>Y</v>
      </c>
      <c r="F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7" t="str">
        <f ca="1">IF(rtd_data[[#This Row],[Exch]]="","",IF(rtd_data[[#This Row],[Exch]]="ICE_L","ICE",rtd_data[[#This Row],[Exch]]))</f>
        <v>ICE</v>
      </c>
      <c r="I7" t="str">
        <f ca="1">IF(rtd_data[[#This Row],[Product]]="","",IFERROR(INDEX(exch_map[TT_Symbol],MATCH(rtd_data[[#This Row],[Group]],exch_map[Group],0))&amp;"",""))</f>
        <v>ER3</v>
      </c>
      <c r="J7" t="str">
        <f ca="1">IF(rtd_data[[#This Row],[Type]]="Future",PROPER(RIGHT(rtd_data[[#This Row],[Product]],5)),"")</f>
        <v>Jan27</v>
      </c>
    </row>
    <row r="8" spans="1:10" x14ac:dyDescent="0.25">
      <c r="A8" s="11" t="str" cm="1">
        <f t="array" aca="1" ref="A8" ca="1">IFERROR(INDEX(_xlfn.ANCHORARRAY(contracts!$A$6),ROW()-ROW(rtd_data[#Headers]),1),"")</f>
        <v>ER3 FEB27</v>
      </c>
      <c r="B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8" t="str">
        <f ca="1">IF(rtd_data[[#This Row],[Product]]="","",IF(LEN(TRIM(rtd_data[[#This Row],[Product]]))-LEN(SUBSTITUTE(TRIM(rtd_data[[#This Row],[Product]])," ",""))&gt;=2,"Spread","Future"))</f>
        <v>Future</v>
      </c>
      <c r="D8" t="str">
        <f ca="1">IFERROR(INDEX(exch_map[Exch],MATCH(rtd_data[[#This Row],[Group]],exch_map[Group],0)),"")</f>
        <v>ICE_L</v>
      </c>
      <c r="E8" s="11" t="str" cm="1">
        <f t="array" aca="1" ref="E8" ca="1">IFERROR(INDEX(_xlfn.ANCHORARRAY(contracts!$A$6),ROW()-ROW(rtd_data[#Headers]),2),"")</f>
        <v>Y</v>
      </c>
      <c r="F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8" t="str">
        <f ca="1">IF(rtd_data[[#This Row],[Exch]]="","",IF(rtd_data[[#This Row],[Exch]]="ICE_L","ICE",rtd_data[[#This Row],[Exch]]))</f>
        <v>ICE</v>
      </c>
      <c r="I8" t="str">
        <f ca="1">IF(rtd_data[[#This Row],[Product]]="","",IFERROR(INDEX(exch_map[TT_Symbol],MATCH(rtd_data[[#This Row],[Group]],exch_map[Group],0))&amp;"",""))</f>
        <v>ER3</v>
      </c>
      <c r="J8" t="str">
        <f ca="1">IF(rtd_data[[#This Row],[Type]]="Future",PROPER(RIGHT(rtd_data[[#This Row],[Product]],5)),"")</f>
        <v>Feb27</v>
      </c>
    </row>
    <row r="9" spans="1:10" x14ac:dyDescent="0.25">
      <c r="A9" s="11" t="str" cm="1">
        <f t="array" aca="1" ref="A9" ca="1">IFERROR(INDEX(_xlfn.ANCHORARRAY(contracts!$A$6),ROW()-ROW(rtd_data[#Headers]),1),"")</f>
        <v>ER3 MAR27</v>
      </c>
      <c r="B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9" t="str">
        <f ca="1">IF(rtd_data[[#This Row],[Product]]="","",IF(LEN(TRIM(rtd_data[[#This Row],[Product]]))-LEN(SUBSTITUTE(TRIM(rtd_data[[#This Row],[Product]])," ",""))&gt;=2,"Spread","Future"))</f>
        <v>Future</v>
      </c>
      <c r="D9" t="str">
        <f ca="1">IFERROR(INDEX(exch_map[Exch],MATCH(rtd_data[[#This Row],[Group]],exch_map[Group],0)),"")</f>
        <v>ICE_L</v>
      </c>
      <c r="E9" s="11" t="str" cm="1">
        <f t="array" aca="1" ref="E9" ca="1">IFERROR(INDEX(_xlfn.ANCHORARRAY(contracts!$A$6),ROW()-ROW(rtd_data[#Headers]),2),"")</f>
        <v>Y</v>
      </c>
      <c r="F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" t="str">
        <f ca="1">IF(rtd_data[[#This Row],[Exch]]="","",IF(rtd_data[[#This Row],[Exch]]="ICE_L","ICE",rtd_data[[#This Row],[Exch]]))</f>
        <v>ICE</v>
      </c>
      <c r="I9" t="str">
        <f ca="1">IF(rtd_data[[#This Row],[Product]]="","",IFERROR(INDEX(exch_map[TT_Symbol],MATCH(rtd_data[[#This Row],[Group]],exch_map[Group],0))&amp;"",""))</f>
        <v>ER3</v>
      </c>
      <c r="J9" t="str">
        <f ca="1">IF(rtd_data[[#This Row],[Type]]="Future",PROPER(RIGHT(rtd_data[[#This Row],[Product]],5)),"")</f>
        <v>Mar27</v>
      </c>
    </row>
    <row r="10" spans="1:10" x14ac:dyDescent="0.25">
      <c r="A10" s="11" t="str" cm="1">
        <f t="array" aca="1" ref="A10" ca="1">IFERROR(INDEX(_xlfn.ANCHORARRAY(contracts!$A$6),ROW()-ROW(rtd_data[#Headers]),1),"")</f>
        <v>ER3 JUN27</v>
      </c>
      <c r="B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0" t="str">
        <f ca="1">IF(rtd_data[[#This Row],[Product]]="","",IF(LEN(TRIM(rtd_data[[#This Row],[Product]]))-LEN(SUBSTITUTE(TRIM(rtd_data[[#This Row],[Product]])," ",""))&gt;=2,"Spread","Future"))</f>
        <v>Future</v>
      </c>
      <c r="D10" t="str">
        <f ca="1">IFERROR(INDEX(exch_map[Exch],MATCH(rtd_data[[#This Row],[Group]],exch_map[Group],0)),"")</f>
        <v>ICE_L</v>
      </c>
      <c r="E10" s="11" t="str" cm="1">
        <f t="array" aca="1" ref="E10" ca="1">IFERROR(INDEX(_xlfn.ANCHORARRAY(contracts!$A$6),ROW()-ROW(rtd_data[#Headers]),2),"")</f>
        <v>Y</v>
      </c>
      <c r="F1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" t="str">
        <f ca="1">IF(rtd_data[[#This Row],[Exch]]="","",IF(rtd_data[[#This Row],[Exch]]="ICE_L","ICE",rtd_data[[#This Row],[Exch]]))</f>
        <v>ICE</v>
      </c>
      <c r="I10" t="str">
        <f ca="1">IF(rtd_data[[#This Row],[Product]]="","",IFERROR(INDEX(exch_map[TT_Symbol],MATCH(rtd_data[[#This Row],[Group]],exch_map[Group],0))&amp;"",""))</f>
        <v>ER3</v>
      </c>
      <c r="J10" t="str">
        <f ca="1">IF(rtd_data[[#This Row],[Type]]="Future",PROPER(RIGHT(rtd_data[[#This Row],[Product]],5)),"")</f>
        <v>Jun27</v>
      </c>
    </row>
    <row r="11" spans="1:10" x14ac:dyDescent="0.25">
      <c r="A11" s="11" t="str" cm="1">
        <f t="array" aca="1" ref="A11" ca="1">IFERROR(INDEX(_xlfn.ANCHORARRAY(contracts!$A$6),ROW()-ROW(rtd_data[#Headers]),1),"")</f>
        <v>ER3 SEP27</v>
      </c>
      <c r="B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1" t="str">
        <f ca="1">IF(rtd_data[[#This Row],[Product]]="","",IF(LEN(TRIM(rtd_data[[#This Row],[Product]]))-LEN(SUBSTITUTE(TRIM(rtd_data[[#This Row],[Product]])," ",""))&gt;=2,"Spread","Future"))</f>
        <v>Future</v>
      </c>
      <c r="D11" t="str">
        <f ca="1">IFERROR(INDEX(exch_map[Exch],MATCH(rtd_data[[#This Row],[Group]],exch_map[Group],0)),"")</f>
        <v>ICE_L</v>
      </c>
      <c r="E11" s="11" t="str" cm="1">
        <f t="array" aca="1" ref="E11" ca="1">IFERROR(INDEX(_xlfn.ANCHORARRAY(contracts!$A$6),ROW()-ROW(rtd_data[#Headers]),2),"")</f>
        <v>Y</v>
      </c>
      <c r="F1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" t="str">
        <f ca="1">IF(rtd_data[[#This Row],[Exch]]="","",IF(rtd_data[[#This Row],[Exch]]="ICE_L","ICE",rtd_data[[#This Row],[Exch]]))</f>
        <v>ICE</v>
      </c>
      <c r="I11" t="str">
        <f ca="1">IF(rtd_data[[#This Row],[Product]]="","",IFERROR(INDEX(exch_map[TT_Symbol],MATCH(rtd_data[[#This Row],[Group]],exch_map[Group],0))&amp;"",""))</f>
        <v>ER3</v>
      </c>
      <c r="J11" t="str">
        <f ca="1">IF(rtd_data[[#This Row],[Type]]="Future",PROPER(RIGHT(rtd_data[[#This Row],[Product]],5)),"")</f>
        <v>Sep27</v>
      </c>
    </row>
    <row r="12" spans="1:10" x14ac:dyDescent="0.25">
      <c r="A12" s="11" t="str" cm="1">
        <f t="array" aca="1" ref="A12" ca="1">IFERROR(INDEX(_xlfn.ANCHORARRAY(contracts!$A$6),ROW()-ROW(rtd_data[#Headers]),1),"")</f>
        <v>ER3 DEC27</v>
      </c>
      <c r="B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2" t="str">
        <f ca="1">IF(rtd_data[[#This Row],[Product]]="","",IF(LEN(TRIM(rtd_data[[#This Row],[Product]]))-LEN(SUBSTITUTE(TRIM(rtd_data[[#This Row],[Product]])," ",""))&gt;=2,"Spread","Future"))</f>
        <v>Future</v>
      </c>
      <c r="D12" t="str">
        <f ca="1">IFERROR(INDEX(exch_map[Exch],MATCH(rtd_data[[#This Row],[Group]],exch_map[Group],0)),"")</f>
        <v>ICE_L</v>
      </c>
      <c r="E12" s="11" t="str" cm="1">
        <f t="array" aca="1" ref="E12" ca="1">IFERROR(INDEX(_xlfn.ANCHORARRAY(contracts!$A$6),ROW()-ROW(rtd_data[#Headers]),2),"")</f>
        <v>Y</v>
      </c>
      <c r="F1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" t="str">
        <f ca="1">IF(rtd_data[[#This Row],[Exch]]="","",IF(rtd_data[[#This Row],[Exch]]="ICE_L","ICE",rtd_data[[#This Row],[Exch]]))</f>
        <v>ICE</v>
      </c>
      <c r="I12" t="str">
        <f ca="1">IF(rtd_data[[#This Row],[Product]]="","",IFERROR(INDEX(exch_map[TT_Symbol],MATCH(rtd_data[[#This Row],[Group]],exch_map[Group],0))&amp;"",""))</f>
        <v>ER3</v>
      </c>
      <c r="J12" t="str">
        <f ca="1">IF(rtd_data[[#This Row],[Type]]="Future",PROPER(RIGHT(rtd_data[[#This Row],[Product]],5)),"")</f>
        <v>Dec27</v>
      </c>
    </row>
    <row r="13" spans="1:10" x14ac:dyDescent="0.25">
      <c r="A13" s="11" t="str" cm="1">
        <f t="array" aca="1" ref="A13" ca="1">IFERROR(INDEX(_xlfn.ANCHORARRAY(contracts!$A$6),ROW()-ROW(rtd_data[#Headers]),1),"")</f>
        <v>ER3 MAR28</v>
      </c>
      <c r="B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3" t="str">
        <f ca="1">IF(rtd_data[[#This Row],[Product]]="","",IF(LEN(TRIM(rtd_data[[#This Row],[Product]]))-LEN(SUBSTITUTE(TRIM(rtd_data[[#This Row],[Product]])," ",""))&gt;=2,"Spread","Future"))</f>
        <v>Future</v>
      </c>
      <c r="D13" t="str">
        <f ca="1">IFERROR(INDEX(exch_map[Exch],MATCH(rtd_data[[#This Row],[Group]],exch_map[Group],0)),"")</f>
        <v>ICE_L</v>
      </c>
      <c r="E13" s="11" t="str" cm="1">
        <f t="array" aca="1" ref="E13" ca="1">IFERROR(INDEX(_xlfn.ANCHORARRAY(contracts!$A$6),ROW()-ROW(rtd_data[#Headers]),2),"")</f>
        <v>Y</v>
      </c>
      <c r="F1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" t="str">
        <f ca="1">IF(rtd_data[[#This Row],[Exch]]="","",IF(rtd_data[[#This Row],[Exch]]="ICE_L","ICE",rtd_data[[#This Row],[Exch]]))</f>
        <v>ICE</v>
      </c>
      <c r="I13" t="str">
        <f ca="1">IF(rtd_data[[#This Row],[Product]]="","",IFERROR(INDEX(exch_map[TT_Symbol],MATCH(rtd_data[[#This Row],[Group]],exch_map[Group],0))&amp;"",""))</f>
        <v>ER3</v>
      </c>
      <c r="J13" t="str">
        <f ca="1">IF(rtd_data[[#This Row],[Type]]="Future",PROPER(RIGHT(rtd_data[[#This Row],[Product]],5)),"")</f>
        <v>Mar28</v>
      </c>
    </row>
    <row r="14" spans="1:10" x14ac:dyDescent="0.25">
      <c r="A14" s="11" t="str" cm="1">
        <f t="array" aca="1" ref="A14" ca="1">IFERROR(INDEX(_xlfn.ANCHORARRAY(contracts!$A$6),ROW()-ROW(rtd_data[#Headers]),1),"")</f>
        <v>ER3 JUN28</v>
      </c>
      <c r="B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4" t="str">
        <f ca="1">IF(rtd_data[[#This Row],[Product]]="","",IF(LEN(TRIM(rtd_data[[#This Row],[Product]]))-LEN(SUBSTITUTE(TRIM(rtd_data[[#This Row],[Product]])," ",""))&gt;=2,"Spread","Future"))</f>
        <v>Future</v>
      </c>
      <c r="D14" t="str">
        <f ca="1">IFERROR(INDEX(exch_map[Exch],MATCH(rtd_data[[#This Row],[Group]],exch_map[Group],0)),"")</f>
        <v>ICE_L</v>
      </c>
      <c r="E14" s="11" t="str" cm="1">
        <f t="array" aca="1" ref="E14" ca="1">IFERROR(INDEX(_xlfn.ANCHORARRAY(contracts!$A$6),ROW()-ROW(rtd_data[#Headers]),2),"")</f>
        <v>Y</v>
      </c>
      <c r="F1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" t="str">
        <f ca="1">IF(rtd_data[[#This Row],[Exch]]="","",IF(rtd_data[[#This Row],[Exch]]="ICE_L","ICE",rtd_data[[#This Row],[Exch]]))</f>
        <v>ICE</v>
      </c>
      <c r="I14" t="str">
        <f ca="1">IF(rtd_data[[#This Row],[Product]]="","",IFERROR(INDEX(exch_map[TT_Symbol],MATCH(rtd_data[[#This Row],[Group]],exch_map[Group],0))&amp;"",""))</f>
        <v>ER3</v>
      </c>
      <c r="J14" t="str">
        <f ca="1">IF(rtd_data[[#This Row],[Type]]="Future",PROPER(RIGHT(rtd_data[[#This Row],[Product]],5)),"")</f>
        <v>Jun28</v>
      </c>
    </row>
    <row r="15" spans="1:10" x14ac:dyDescent="0.25">
      <c r="A15" s="11" t="str" cm="1">
        <f t="array" aca="1" ref="A15" ca="1">IFERROR(INDEX(_xlfn.ANCHORARRAY(contracts!$A$6),ROW()-ROW(rtd_data[#Headers]),1),"")</f>
        <v>ER3 SEP28</v>
      </c>
      <c r="B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5" t="str">
        <f ca="1">IF(rtd_data[[#This Row],[Product]]="","",IF(LEN(TRIM(rtd_data[[#This Row],[Product]]))-LEN(SUBSTITUTE(TRIM(rtd_data[[#This Row],[Product]])," ",""))&gt;=2,"Spread","Future"))</f>
        <v>Future</v>
      </c>
      <c r="D15" t="str">
        <f ca="1">IFERROR(INDEX(exch_map[Exch],MATCH(rtd_data[[#This Row],[Group]],exch_map[Group],0)),"")</f>
        <v>ICE_L</v>
      </c>
      <c r="E15" s="11" t="str" cm="1">
        <f t="array" aca="1" ref="E15" ca="1">IFERROR(INDEX(_xlfn.ANCHORARRAY(contracts!$A$6),ROW()-ROW(rtd_data[#Headers]),2),"")</f>
        <v>Y</v>
      </c>
      <c r="F1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" t="str">
        <f ca="1">IF(rtd_data[[#This Row],[Exch]]="","",IF(rtd_data[[#This Row],[Exch]]="ICE_L","ICE",rtd_data[[#This Row],[Exch]]))</f>
        <v>ICE</v>
      </c>
      <c r="I15" t="str">
        <f ca="1">IF(rtd_data[[#This Row],[Product]]="","",IFERROR(INDEX(exch_map[TT_Symbol],MATCH(rtd_data[[#This Row],[Group]],exch_map[Group],0))&amp;"",""))</f>
        <v>ER3</v>
      </c>
      <c r="J15" t="str">
        <f ca="1">IF(rtd_data[[#This Row],[Type]]="Future",PROPER(RIGHT(rtd_data[[#This Row],[Product]],5)),"")</f>
        <v>Sep28</v>
      </c>
    </row>
    <row r="16" spans="1:10" x14ac:dyDescent="0.25">
      <c r="A16" s="11" t="str" cm="1">
        <f t="array" aca="1" ref="A16" ca="1">IFERROR(INDEX(_xlfn.ANCHORARRAY(contracts!$A$6),ROW()-ROW(rtd_data[#Headers]),1),"")</f>
        <v>ER3 DEC28</v>
      </c>
      <c r="B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6" t="str">
        <f ca="1">IF(rtd_data[[#This Row],[Product]]="","",IF(LEN(TRIM(rtd_data[[#This Row],[Product]]))-LEN(SUBSTITUTE(TRIM(rtd_data[[#This Row],[Product]])," ",""))&gt;=2,"Spread","Future"))</f>
        <v>Future</v>
      </c>
      <c r="D16" t="str">
        <f ca="1">IFERROR(INDEX(exch_map[Exch],MATCH(rtd_data[[#This Row],[Group]],exch_map[Group],0)),"")</f>
        <v>ICE_L</v>
      </c>
      <c r="E16" s="11" t="str" cm="1">
        <f t="array" aca="1" ref="E16" ca="1">IFERROR(INDEX(_xlfn.ANCHORARRAY(contracts!$A$6),ROW()-ROW(rtd_data[#Headers]),2),"")</f>
        <v>Y</v>
      </c>
      <c r="F1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" t="str">
        <f ca="1">IF(rtd_data[[#This Row],[Exch]]="","",IF(rtd_data[[#This Row],[Exch]]="ICE_L","ICE",rtd_data[[#This Row],[Exch]]))</f>
        <v>ICE</v>
      </c>
      <c r="I16" t="str">
        <f ca="1">IF(rtd_data[[#This Row],[Product]]="","",IFERROR(INDEX(exch_map[TT_Symbol],MATCH(rtd_data[[#This Row],[Group]],exch_map[Group],0))&amp;"",""))</f>
        <v>ER3</v>
      </c>
      <c r="J16" t="str">
        <f ca="1">IF(rtd_data[[#This Row],[Type]]="Future",PROPER(RIGHT(rtd_data[[#This Row],[Product]],5)),"")</f>
        <v>Dec28</v>
      </c>
    </row>
    <row r="17" spans="1:10" x14ac:dyDescent="0.25">
      <c r="A17" s="11" t="str" cm="1">
        <f t="array" aca="1" ref="A17" ca="1">IFERROR(INDEX(_xlfn.ANCHORARRAY(contracts!$A$6),ROW()-ROW(rtd_data[#Headers]),1),"")</f>
        <v>ER3 MAR29</v>
      </c>
      <c r="B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7" t="str">
        <f ca="1">IF(rtd_data[[#This Row],[Product]]="","",IF(LEN(TRIM(rtd_data[[#This Row],[Product]]))-LEN(SUBSTITUTE(TRIM(rtd_data[[#This Row],[Product]])," ",""))&gt;=2,"Spread","Future"))</f>
        <v>Future</v>
      </c>
      <c r="D17" t="str">
        <f ca="1">IFERROR(INDEX(exch_map[Exch],MATCH(rtd_data[[#This Row],[Group]],exch_map[Group],0)),"")</f>
        <v>ICE_L</v>
      </c>
      <c r="E17" s="11" t="str" cm="1">
        <f t="array" aca="1" ref="E17" ca="1">IFERROR(INDEX(_xlfn.ANCHORARRAY(contracts!$A$6),ROW()-ROW(rtd_data[#Headers]),2),"")</f>
        <v>Y</v>
      </c>
      <c r="F1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" t="str">
        <f ca="1">IF(rtd_data[[#This Row],[Exch]]="","",IF(rtd_data[[#This Row],[Exch]]="ICE_L","ICE",rtd_data[[#This Row],[Exch]]))</f>
        <v>ICE</v>
      </c>
      <c r="I17" t="str">
        <f ca="1">IF(rtd_data[[#This Row],[Product]]="","",IFERROR(INDEX(exch_map[TT_Symbol],MATCH(rtd_data[[#This Row],[Group]],exch_map[Group],0))&amp;"",""))</f>
        <v>ER3</v>
      </c>
      <c r="J17" t="str">
        <f ca="1">IF(rtd_data[[#This Row],[Type]]="Future",PROPER(RIGHT(rtd_data[[#This Row],[Product]],5)),"")</f>
        <v>Mar29</v>
      </c>
    </row>
    <row r="18" spans="1:10" x14ac:dyDescent="0.25">
      <c r="A18" s="11" t="str" cm="1">
        <f t="array" aca="1" ref="A18" ca="1">IFERROR(INDEX(_xlfn.ANCHORARRAY(contracts!$A$6),ROW()-ROW(rtd_data[#Headers]),1),"")</f>
        <v>ER3 JUN29</v>
      </c>
      <c r="B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8" t="str">
        <f ca="1">IF(rtd_data[[#This Row],[Product]]="","",IF(LEN(TRIM(rtd_data[[#This Row],[Product]]))-LEN(SUBSTITUTE(TRIM(rtd_data[[#This Row],[Product]])," ",""))&gt;=2,"Spread","Future"))</f>
        <v>Future</v>
      </c>
      <c r="D18" t="str">
        <f ca="1">IFERROR(INDEX(exch_map[Exch],MATCH(rtd_data[[#This Row],[Group]],exch_map[Group],0)),"")</f>
        <v>ICE_L</v>
      </c>
      <c r="E18" s="11" t="str" cm="1">
        <f t="array" aca="1" ref="E18" ca="1">IFERROR(INDEX(_xlfn.ANCHORARRAY(contracts!$A$6),ROW()-ROW(rtd_data[#Headers]),2),"")</f>
        <v>Y</v>
      </c>
      <c r="F1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8" t="str">
        <f ca="1">IF(rtd_data[[#This Row],[Exch]]="","",IF(rtd_data[[#This Row],[Exch]]="ICE_L","ICE",rtd_data[[#This Row],[Exch]]))</f>
        <v>ICE</v>
      </c>
      <c r="I18" t="str">
        <f ca="1">IF(rtd_data[[#This Row],[Product]]="","",IFERROR(INDEX(exch_map[TT_Symbol],MATCH(rtd_data[[#This Row],[Group]],exch_map[Group],0))&amp;"",""))</f>
        <v>ER3</v>
      </c>
      <c r="J18" t="str">
        <f ca="1">IF(rtd_data[[#This Row],[Type]]="Future",PROPER(RIGHT(rtd_data[[#This Row],[Product]],5)),"")</f>
        <v>Jun29</v>
      </c>
    </row>
    <row r="19" spans="1:10" x14ac:dyDescent="0.25">
      <c r="A19" s="11" t="str" cm="1">
        <f t="array" aca="1" ref="A19" ca="1">IFERROR(INDEX(_xlfn.ANCHORARRAY(contracts!$A$6),ROW()-ROW(rtd_data[#Headers]),1),"")</f>
        <v>ER3 SEP29</v>
      </c>
      <c r="B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9" t="str">
        <f ca="1">IF(rtd_data[[#This Row],[Product]]="","",IF(LEN(TRIM(rtd_data[[#This Row],[Product]]))-LEN(SUBSTITUTE(TRIM(rtd_data[[#This Row],[Product]])," ",""))&gt;=2,"Spread","Future"))</f>
        <v>Future</v>
      </c>
      <c r="D19" t="str">
        <f ca="1">IFERROR(INDEX(exch_map[Exch],MATCH(rtd_data[[#This Row],[Group]],exch_map[Group],0)),"")</f>
        <v>ICE_L</v>
      </c>
      <c r="E19" s="11" t="str" cm="1">
        <f t="array" aca="1" ref="E19" ca="1">IFERROR(INDEX(_xlfn.ANCHORARRAY(contracts!$A$6),ROW()-ROW(rtd_data[#Headers]),2),"")</f>
        <v>Y</v>
      </c>
      <c r="F1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" t="str">
        <f ca="1">IF(rtd_data[[#This Row],[Exch]]="","",IF(rtd_data[[#This Row],[Exch]]="ICE_L","ICE",rtd_data[[#This Row],[Exch]]))</f>
        <v>ICE</v>
      </c>
      <c r="I19" t="str">
        <f ca="1">IF(rtd_data[[#This Row],[Product]]="","",IFERROR(INDEX(exch_map[TT_Symbol],MATCH(rtd_data[[#This Row],[Group]],exch_map[Group],0))&amp;"",""))</f>
        <v>ER3</v>
      </c>
      <c r="J19" t="str">
        <f ca="1">IF(rtd_data[[#This Row],[Type]]="Future",PROPER(RIGHT(rtd_data[[#This Row],[Product]],5)),"")</f>
        <v>Sep29</v>
      </c>
    </row>
    <row r="20" spans="1:10" x14ac:dyDescent="0.25">
      <c r="A20" s="11" t="str" cm="1">
        <f t="array" aca="1" ref="A20" ca="1">IFERROR(INDEX(_xlfn.ANCHORARRAY(contracts!$A$6),ROW()-ROW(rtd_data[#Headers]),1),"")</f>
        <v>ER3 DEC29</v>
      </c>
      <c r="B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0" t="str">
        <f ca="1">IF(rtd_data[[#This Row],[Product]]="","",IF(LEN(TRIM(rtd_data[[#This Row],[Product]]))-LEN(SUBSTITUTE(TRIM(rtd_data[[#This Row],[Product]])," ",""))&gt;=2,"Spread","Future"))</f>
        <v>Future</v>
      </c>
      <c r="D20" t="str">
        <f ca="1">IFERROR(INDEX(exch_map[Exch],MATCH(rtd_data[[#This Row],[Group]],exch_map[Group],0)),"")</f>
        <v>ICE_L</v>
      </c>
      <c r="E20" s="11" t="str" cm="1">
        <f t="array" aca="1" ref="E20" ca="1">IFERROR(INDEX(_xlfn.ANCHORARRAY(contracts!$A$6),ROW()-ROW(rtd_data[#Headers]),2),"")</f>
        <v>Y</v>
      </c>
      <c r="F2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" t="str">
        <f ca="1">IF(rtd_data[[#This Row],[Exch]]="","",IF(rtd_data[[#This Row],[Exch]]="ICE_L","ICE",rtd_data[[#This Row],[Exch]]))</f>
        <v>ICE</v>
      </c>
      <c r="I20" t="str">
        <f ca="1">IF(rtd_data[[#This Row],[Product]]="","",IFERROR(INDEX(exch_map[TT_Symbol],MATCH(rtd_data[[#This Row],[Group]],exch_map[Group],0))&amp;"",""))</f>
        <v>ER3</v>
      </c>
      <c r="J20" t="str">
        <f ca="1">IF(rtd_data[[#This Row],[Type]]="Future",PROPER(RIGHT(rtd_data[[#This Row],[Product]],5)),"")</f>
        <v>Dec29</v>
      </c>
    </row>
    <row r="21" spans="1:10" x14ac:dyDescent="0.25">
      <c r="A21" s="11" t="str" cm="1">
        <f t="array" aca="1" ref="A21" ca="1">IFERROR(INDEX(_xlfn.ANCHORARRAY(contracts!$A$6),ROW()-ROW(rtd_data[#Headers]),1),"")</f>
        <v>ER3 MAR30</v>
      </c>
      <c r="B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1" t="str">
        <f ca="1">IF(rtd_data[[#This Row],[Product]]="","",IF(LEN(TRIM(rtd_data[[#This Row],[Product]]))-LEN(SUBSTITUTE(TRIM(rtd_data[[#This Row],[Product]])," ",""))&gt;=2,"Spread","Future"))</f>
        <v>Future</v>
      </c>
      <c r="D21" t="str">
        <f ca="1">IFERROR(INDEX(exch_map[Exch],MATCH(rtd_data[[#This Row],[Group]],exch_map[Group],0)),"")</f>
        <v>ICE_L</v>
      </c>
      <c r="E21" s="11" t="str" cm="1">
        <f t="array" aca="1" ref="E21" ca="1">IFERROR(INDEX(_xlfn.ANCHORARRAY(contracts!$A$6),ROW()-ROW(rtd_data[#Headers]),2),"")</f>
        <v>Y</v>
      </c>
      <c r="F2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" t="str">
        <f ca="1">IF(rtd_data[[#This Row],[Exch]]="","",IF(rtd_data[[#This Row],[Exch]]="ICE_L","ICE",rtd_data[[#This Row],[Exch]]))</f>
        <v>ICE</v>
      </c>
      <c r="I21" t="str">
        <f ca="1">IF(rtd_data[[#This Row],[Product]]="","",IFERROR(INDEX(exch_map[TT_Symbol],MATCH(rtd_data[[#This Row],[Group]],exch_map[Group],0))&amp;"",""))</f>
        <v>ER3</v>
      </c>
      <c r="J21" t="str">
        <f ca="1">IF(rtd_data[[#This Row],[Type]]="Future",PROPER(RIGHT(rtd_data[[#This Row],[Product]],5)),"")</f>
        <v>Mar30</v>
      </c>
    </row>
    <row r="22" spans="1:10" x14ac:dyDescent="0.25">
      <c r="A22" s="11" t="str" cm="1">
        <f t="array" aca="1" ref="A22" ca="1">IFERROR(INDEX(_xlfn.ANCHORARRAY(contracts!$A$6),ROW()-ROW(rtd_data[#Headers]),1),"")</f>
        <v>ER3 JUN30</v>
      </c>
      <c r="B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2" t="str">
        <f ca="1">IF(rtd_data[[#This Row],[Product]]="","",IF(LEN(TRIM(rtd_data[[#This Row],[Product]]))-LEN(SUBSTITUTE(TRIM(rtd_data[[#This Row],[Product]])," ",""))&gt;=2,"Spread","Future"))</f>
        <v>Future</v>
      </c>
      <c r="D22" t="str">
        <f ca="1">IFERROR(INDEX(exch_map[Exch],MATCH(rtd_data[[#This Row],[Group]],exch_map[Group],0)),"")</f>
        <v>ICE_L</v>
      </c>
      <c r="E22" s="11" t="str" cm="1">
        <f t="array" aca="1" ref="E22" ca="1">IFERROR(INDEX(_xlfn.ANCHORARRAY(contracts!$A$6),ROW()-ROW(rtd_data[#Headers]),2),"")</f>
        <v>Y</v>
      </c>
      <c r="F2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" t="str">
        <f ca="1">IF(rtd_data[[#This Row],[Exch]]="","",IF(rtd_data[[#This Row],[Exch]]="ICE_L","ICE",rtd_data[[#This Row],[Exch]]))</f>
        <v>ICE</v>
      </c>
      <c r="I22" t="str">
        <f ca="1">IF(rtd_data[[#This Row],[Product]]="","",IFERROR(INDEX(exch_map[TT_Symbol],MATCH(rtd_data[[#This Row],[Group]],exch_map[Group],0))&amp;"",""))</f>
        <v>ER3</v>
      </c>
      <c r="J22" t="str">
        <f ca="1">IF(rtd_data[[#This Row],[Type]]="Future",PROPER(RIGHT(rtd_data[[#This Row],[Product]],5)),"")</f>
        <v>Jun30</v>
      </c>
    </row>
    <row r="23" spans="1:10" x14ac:dyDescent="0.25">
      <c r="A23" s="11" t="str" cm="1">
        <f t="array" aca="1" ref="A23" ca="1">IFERROR(INDEX(_xlfn.ANCHORARRAY(contracts!$A$6),ROW()-ROW(rtd_data[#Headers]),1),"")</f>
        <v>ER3 SEP30</v>
      </c>
      <c r="B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3" t="str">
        <f ca="1">IF(rtd_data[[#This Row],[Product]]="","",IF(LEN(TRIM(rtd_data[[#This Row],[Product]]))-LEN(SUBSTITUTE(TRIM(rtd_data[[#This Row],[Product]])," ",""))&gt;=2,"Spread","Future"))</f>
        <v>Future</v>
      </c>
      <c r="D23" t="str">
        <f ca="1">IFERROR(INDEX(exch_map[Exch],MATCH(rtd_data[[#This Row],[Group]],exch_map[Group],0)),"")</f>
        <v>ICE_L</v>
      </c>
      <c r="E23" s="11" t="str" cm="1">
        <f t="array" aca="1" ref="E23" ca="1">IFERROR(INDEX(_xlfn.ANCHORARRAY(contracts!$A$6),ROW()-ROW(rtd_data[#Headers]),2),"")</f>
        <v>Y</v>
      </c>
      <c r="F2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" t="str">
        <f ca="1">IF(rtd_data[[#This Row],[Exch]]="","",IF(rtd_data[[#This Row],[Exch]]="ICE_L","ICE",rtd_data[[#This Row],[Exch]]))</f>
        <v>ICE</v>
      </c>
      <c r="I23" t="str">
        <f ca="1">IF(rtd_data[[#This Row],[Product]]="","",IFERROR(INDEX(exch_map[TT_Symbol],MATCH(rtd_data[[#This Row],[Group]],exch_map[Group],0))&amp;"",""))</f>
        <v>ER3</v>
      </c>
      <c r="J23" t="str">
        <f ca="1">IF(rtd_data[[#This Row],[Type]]="Future",PROPER(RIGHT(rtd_data[[#This Row],[Product]],5)),"")</f>
        <v>Sep30</v>
      </c>
    </row>
    <row r="24" spans="1:10" x14ac:dyDescent="0.25">
      <c r="A24" s="11" t="str" cm="1">
        <f t="array" aca="1" ref="A24" ca="1">IFERROR(INDEX(_xlfn.ANCHORARRAY(contracts!$A$6),ROW()-ROW(rtd_data[#Headers]),1),"")</f>
        <v>ER3 DEC30</v>
      </c>
      <c r="B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4" t="str">
        <f ca="1">IF(rtd_data[[#This Row],[Product]]="","",IF(LEN(TRIM(rtd_data[[#This Row],[Product]]))-LEN(SUBSTITUTE(TRIM(rtd_data[[#This Row],[Product]])," ",""))&gt;=2,"Spread","Future"))</f>
        <v>Future</v>
      </c>
      <c r="D24" t="str">
        <f ca="1">IFERROR(INDEX(exch_map[Exch],MATCH(rtd_data[[#This Row],[Group]],exch_map[Group],0)),"")</f>
        <v>ICE_L</v>
      </c>
      <c r="E24" s="11" t="str" cm="1">
        <f t="array" aca="1" ref="E24" ca="1">IFERROR(INDEX(_xlfn.ANCHORARRAY(contracts!$A$6),ROW()-ROW(rtd_data[#Headers]),2),"")</f>
        <v>Y</v>
      </c>
      <c r="F2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" t="str">
        <f ca="1">IF(rtd_data[[#This Row],[Exch]]="","",IF(rtd_data[[#This Row],[Exch]]="ICE_L","ICE",rtd_data[[#This Row],[Exch]]))</f>
        <v>ICE</v>
      </c>
      <c r="I24" t="str">
        <f ca="1">IF(rtd_data[[#This Row],[Product]]="","",IFERROR(INDEX(exch_map[TT_Symbol],MATCH(rtd_data[[#This Row],[Group]],exch_map[Group],0))&amp;"",""))</f>
        <v>ER3</v>
      </c>
      <c r="J24" t="str">
        <f ca="1">IF(rtd_data[[#This Row],[Type]]="Future",PROPER(RIGHT(rtd_data[[#This Row],[Product]],5)),"")</f>
        <v>Dec30</v>
      </c>
    </row>
    <row r="25" spans="1:10" x14ac:dyDescent="0.25">
      <c r="A25" s="11" t="str" cm="1">
        <f t="array" aca="1" ref="A25" ca="1">IFERROR(INDEX(_xlfn.ANCHORARRAY(contracts!$A$6),ROW()-ROW(rtd_data[#Headers]),1),"")</f>
        <v>ER3 MAR31</v>
      </c>
      <c r="B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5" t="str">
        <f ca="1">IF(rtd_data[[#This Row],[Product]]="","",IF(LEN(TRIM(rtd_data[[#This Row],[Product]]))-LEN(SUBSTITUTE(TRIM(rtd_data[[#This Row],[Product]])," ",""))&gt;=2,"Spread","Future"))</f>
        <v>Future</v>
      </c>
      <c r="D25" t="str">
        <f ca="1">IFERROR(INDEX(exch_map[Exch],MATCH(rtd_data[[#This Row],[Group]],exch_map[Group],0)),"")</f>
        <v>ICE_L</v>
      </c>
      <c r="E25" s="11" t="str" cm="1">
        <f t="array" aca="1" ref="E25" ca="1">IFERROR(INDEX(_xlfn.ANCHORARRAY(contracts!$A$6),ROW()-ROW(rtd_data[#Headers]),2),"")</f>
        <v>Y</v>
      </c>
      <c r="F2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" t="str">
        <f ca="1">IF(rtd_data[[#This Row],[Exch]]="","",IF(rtd_data[[#This Row],[Exch]]="ICE_L","ICE",rtd_data[[#This Row],[Exch]]))</f>
        <v>ICE</v>
      </c>
      <c r="I25" t="str">
        <f ca="1">IF(rtd_data[[#This Row],[Product]]="","",IFERROR(INDEX(exch_map[TT_Symbol],MATCH(rtd_data[[#This Row],[Group]],exch_map[Group],0))&amp;"",""))</f>
        <v>ER3</v>
      </c>
      <c r="J25" t="str">
        <f ca="1">IF(rtd_data[[#This Row],[Type]]="Future",PROPER(RIGHT(rtd_data[[#This Row],[Product]],5)),"")</f>
        <v>Mar31</v>
      </c>
    </row>
    <row r="26" spans="1:10" x14ac:dyDescent="0.25">
      <c r="A26" s="11" t="str" cm="1">
        <f t="array" aca="1" ref="A26" ca="1">IFERROR(INDEX(_xlfn.ANCHORARRAY(contracts!$A$6),ROW()-ROW(rtd_data[#Headers]),1),"")</f>
        <v>ER3 JUN31</v>
      </c>
      <c r="B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6" t="str">
        <f ca="1">IF(rtd_data[[#This Row],[Product]]="","",IF(LEN(TRIM(rtd_data[[#This Row],[Product]]))-LEN(SUBSTITUTE(TRIM(rtd_data[[#This Row],[Product]])," ",""))&gt;=2,"Spread","Future"))</f>
        <v>Future</v>
      </c>
      <c r="D26" t="str">
        <f ca="1">IFERROR(INDEX(exch_map[Exch],MATCH(rtd_data[[#This Row],[Group]],exch_map[Group],0)),"")</f>
        <v>ICE_L</v>
      </c>
      <c r="E26" s="11" t="str" cm="1">
        <f t="array" aca="1" ref="E26" ca="1">IFERROR(INDEX(_xlfn.ANCHORARRAY(contracts!$A$6),ROW()-ROW(rtd_data[#Headers]),2),"")</f>
        <v>Y</v>
      </c>
      <c r="F2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6" t="str">
        <f ca="1">IF(rtd_data[[#This Row],[Exch]]="","",IF(rtd_data[[#This Row],[Exch]]="ICE_L","ICE",rtd_data[[#This Row],[Exch]]))</f>
        <v>ICE</v>
      </c>
      <c r="I26" t="str">
        <f ca="1">IF(rtd_data[[#This Row],[Product]]="","",IFERROR(INDEX(exch_map[TT_Symbol],MATCH(rtd_data[[#This Row],[Group]],exch_map[Group],0))&amp;"",""))</f>
        <v>ER3</v>
      </c>
      <c r="J26" t="str">
        <f ca="1">IF(rtd_data[[#This Row],[Type]]="Future",PROPER(RIGHT(rtd_data[[#This Row],[Product]],5)),"")</f>
        <v>Jun31</v>
      </c>
    </row>
    <row r="27" spans="1:10" x14ac:dyDescent="0.25">
      <c r="A27" s="11" t="str" cm="1">
        <f t="array" aca="1" ref="A27" ca="1">IFERROR(INDEX(_xlfn.ANCHORARRAY(contracts!$A$6),ROW()-ROW(rtd_data[#Headers]),1),"")</f>
        <v>ER3 SEP31</v>
      </c>
      <c r="B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7" t="str">
        <f ca="1">IF(rtd_data[[#This Row],[Product]]="","",IF(LEN(TRIM(rtd_data[[#This Row],[Product]]))-LEN(SUBSTITUTE(TRIM(rtd_data[[#This Row],[Product]])," ",""))&gt;=2,"Spread","Future"))</f>
        <v>Future</v>
      </c>
      <c r="D27" t="str">
        <f ca="1">IFERROR(INDEX(exch_map[Exch],MATCH(rtd_data[[#This Row],[Group]],exch_map[Group],0)),"")</f>
        <v>ICE_L</v>
      </c>
      <c r="E27" s="11" t="str" cm="1">
        <f t="array" aca="1" ref="E27" ca="1">IFERROR(INDEX(_xlfn.ANCHORARRAY(contracts!$A$6),ROW()-ROW(rtd_data[#Headers]),2),"")</f>
        <v>Y</v>
      </c>
      <c r="F2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7" t="str">
        <f ca="1">IF(rtd_data[[#This Row],[Exch]]="","",IF(rtd_data[[#This Row],[Exch]]="ICE_L","ICE",rtd_data[[#This Row],[Exch]]))</f>
        <v>ICE</v>
      </c>
      <c r="I27" t="str">
        <f ca="1">IF(rtd_data[[#This Row],[Product]]="","",IFERROR(INDEX(exch_map[TT_Symbol],MATCH(rtd_data[[#This Row],[Group]],exch_map[Group],0))&amp;"",""))</f>
        <v>ER3</v>
      </c>
      <c r="J27" t="str">
        <f ca="1">IF(rtd_data[[#This Row],[Type]]="Future",PROPER(RIGHT(rtd_data[[#This Row],[Product]],5)),"")</f>
        <v>Sep31</v>
      </c>
    </row>
    <row r="28" spans="1:10" x14ac:dyDescent="0.25">
      <c r="A28" s="11" t="str" cm="1">
        <f t="array" aca="1" ref="A28" ca="1">IFERROR(INDEX(_xlfn.ANCHORARRAY(contracts!$A$6),ROW()-ROW(rtd_data[#Headers]),1),"")</f>
        <v>ER3 DEC31</v>
      </c>
      <c r="B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8" t="str">
        <f ca="1">IF(rtd_data[[#This Row],[Product]]="","",IF(LEN(TRIM(rtd_data[[#This Row],[Product]]))-LEN(SUBSTITUTE(TRIM(rtd_data[[#This Row],[Product]])," ",""))&gt;=2,"Spread","Future"))</f>
        <v>Future</v>
      </c>
      <c r="D28" t="str">
        <f ca="1">IFERROR(INDEX(exch_map[Exch],MATCH(rtd_data[[#This Row],[Group]],exch_map[Group],0)),"")</f>
        <v>ICE_L</v>
      </c>
      <c r="E28" s="11" t="str" cm="1">
        <f t="array" aca="1" ref="E28" ca="1">IFERROR(INDEX(_xlfn.ANCHORARRAY(contracts!$A$6),ROW()-ROW(rtd_data[#Headers]),2),"")</f>
        <v>Y</v>
      </c>
      <c r="F2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8" t="str">
        <f ca="1">IF(rtd_data[[#This Row],[Exch]]="","",IF(rtd_data[[#This Row],[Exch]]="ICE_L","ICE",rtd_data[[#This Row],[Exch]]))</f>
        <v>ICE</v>
      </c>
      <c r="I28" t="str">
        <f ca="1">IF(rtd_data[[#This Row],[Product]]="","",IFERROR(INDEX(exch_map[TT_Symbol],MATCH(rtd_data[[#This Row],[Group]],exch_map[Group],0))&amp;"",""))</f>
        <v>ER3</v>
      </c>
      <c r="J28" t="str">
        <f ca="1">IF(rtd_data[[#This Row],[Type]]="Future",PROPER(RIGHT(rtd_data[[#This Row],[Product]],5)),"")</f>
        <v>Dec31</v>
      </c>
    </row>
    <row r="29" spans="1:10" x14ac:dyDescent="0.25">
      <c r="A29" s="11" t="str" cm="1">
        <f t="array" aca="1" ref="A29" ca="1">IFERROR(INDEX(_xlfn.ANCHORARRAY(contracts!$A$6),ROW()-ROW(rtd_data[#Headers]),1),"")</f>
        <v>ER3 MAR32</v>
      </c>
      <c r="B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9" t="str">
        <f ca="1">IF(rtd_data[[#This Row],[Product]]="","",IF(LEN(TRIM(rtd_data[[#This Row],[Product]]))-LEN(SUBSTITUTE(TRIM(rtd_data[[#This Row],[Product]])," ",""))&gt;=2,"Spread","Future"))</f>
        <v>Future</v>
      </c>
      <c r="D29" t="str">
        <f ca="1">IFERROR(INDEX(exch_map[Exch],MATCH(rtd_data[[#This Row],[Group]],exch_map[Group],0)),"")</f>
        <v>ICE_L</v>
      </c>
      <c r="E29" s="11" t="str" cm="1">
        <f t="array" aca="1" ref="E29" ca="1">IFERROR(INDEX(_xlfn.ANCHORARRAY(contracts!$A$6),ROW()-ROW(rtd_data[#Headers]),2),"")</f>
        <v>Y</v>
      </c>
      <c r="F2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9" t="str">
        <f ca="1">IF(rtd_data[[#This Row],[Exch]]="","",IF(rtd_data[[#This Row],[Exch]]="ICE_L","ICE",rtd_data[[#This Row],[Exch]]))</f>
        <v>ICE</v>
      </c>
      <c r="I29" t="str">
        <f ca="1">IF(rtd_data[[#This Row],[Product]]="","",IFERROR(INDEX(exch_map[TT_Symbol],MATCH(rtd_data[[#This Row],[Group]],exch_map[Group],0))&amp;"",""))</f>
        <v>ER3</v>
      </c>
      <c r="J29" t="str">
        <f ca="1">IF(rtd_data[[#This Row],[Type]]="Future",PROPER(RIGHT(rtd_data[[#This Row],[Product]],5)),"")</f>
        <v>Mar32</v>
      </c>
    </row>
    <row r="30" spans="1:10" x14ac:dyDescent="0.25">
      <c r="A30" s="11" t="str" cm="1">
        <f t="array" aca="1" ref="A30" ca="1">IFERROR(INDEX(_xlfn.ANCHORARRAY(contracts!$A$6),ROW()-ROW(rtd_data[#Headers]),1),"")</f>
        <v>ER3 JUN32</v>
      </c>
      <c r="B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30" t="str">
        <f ca="1">IF(rtd_data[[#This Row],[Product]]="","",IF(LEN(TRIM(rtd_data[[#This Row],[Product]]))-LEN(SUBSTITUTE(TRIM(rtd_data[[#This Row],[Product]])," ",""))&gt;=2,"Spread","Future"))</f>
        <v>Future</v>
      </c>
      <c r="D30" t="str">
        <f ca="1">IFERROR(INDEX(exch_map[Exch],MATCH(rtd_data[[#This Row],[Group]],exch_map[Group],0)),"")</f>
        <v>ICE_L</v>
      </c>
      <c r="E30" s="11" t="str" cm="1">
        <f t="array" aca="1" ref="E30" ca="1">IFERROR(INDEX(_xlfn.ANCHORARRAY(contracts!$A$6),ROW()-ROW(rtd_data[#Headers]),2),"")</f>
        <v>Y</v>
      </c>
      <c r="F3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0" t="str">
        <f ca="1">IF(rtd_data[[#This Row],[Exch]]="","",IF(rtd_data[[#This Row],[Exch]]="ICE_L","ICE",rtd_data[[#This Row],[Exch]]))</f>
        <v>ICE</v>
      </c>
      <c r="I30" t="str">
        <f ca="1">IF(rtd_data[[#This Row],[Product]]="","",IFERROR(INDEX(exch_map[TT_Symbol],MATCH(rtd_data[[#This Row],[Group]],exch_map[Group],0))&amp;"",""))</f>
        <v>ER3</v>
      </c>
      <c r="J30" t="str">
        <f ca="1">IF(rtd_data[[#This Row],[Type]]="Future",PROPER(RIGHT(rtd_data[[#This Row],[Product]],5)),"")</f>
        <v>Jun32</v>
      </c>
    </row>
    <row r="31" spans="1:10" x14ac:dyDescent="0.25">
      <c r="A31" s="11" t="str" cm="1">
        <f t="array" aca="1" ref="A31" ca="1">IFERROR(INDEX(_xlfn.ANCHORARRAY(contracts!$A$6),ROW()-ROW(rtd_data[#Headers]),1),"")</f>
        <v>ER3 SEP32</v>
      </c>
      <c r="B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31" t="str">
        <f ca="1">IF(rtd_data[[#This Row],[Product]]="","",IF(LEN(TRIM(rtd_data[[#This Row],[Product]]))-LEN(SUBSTITUTE(TRIM(rtd_data[[#This Row],[Product]])," ",""))&gt;=2,"Spread","Future"))</f>
        <v>Future</v>
      </c>
      <c r="D31" t="str">
        <f ca="1">IFERROR(INDEX(exch_map[Exch],MATCH(rtd_data[[#This Row],[Group]],exch_map[Group],0)),"")</f>
        <v>ICE_L</v>
      </c>
      <c r="E31" s="11" t="str" cm="1">
        <f t="array" aca="1" ref="E31" ca="1">IFERROR(INDEX(_xlfn.ANCHORARRAY(contracts!$A$6),ROW()-ROW(rtd_data[#Headers]),2),"")</f>
        <v>Y</v>
      </c>
      <c r="F3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1" t="str">
        <f ca="1">IF(rtd_data[[#This Row],[Exch]]="","",IF(rtd_data[[#This Row],[Exch]]="ICE_L","ICE",rtd_data[[#This Row],[Exch]]))</f>
        <v>ICE</v>
      </c>
      <c r="I31" t="str">
        <f ca="1">IF(rtd_data[[#This Row],[Product]]="","",IFERROR(INDEX(exch_map[TT_Symbol],MATCH(rtd_data[[#This Row],[Group]],exch_map[Group],0))&amp;"",""))</f>
        <v>ER3</v>
      </c>
      <c r="J31" t="str">
        <f ca="1">IF(rtd_data[[#This Row],[Type]]="Future",PROPER(RIGHT(rtd_data[[#This Row],[Product]],5)),"")</f>
        <v>Sep32</v>
      </c>
    </row>
    <row r="32" spans="1:10" x14ac:dyDescent="0.25">
      <c r="A32" s="11" t="str" cm="1">
        <f t="array" aca="1" ref="A32" ca="1">IFERROR(INDEX(_xlfn.ANCHORARRAY(contracts!$A$6),ROW()-ROW(rtd_data[#Headers]),1),"")</f>
        <v>I OCT26</v>
      </c>
      <c r="B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2" t="str">
        <f ca="1">IF(rtd_data[[#This Row],[Product]]="","",IF(LEN(TRIM(rtd_data[[#This Row],[Product]]))-LEN(SUBSTITUTE(TRIM(rtd_data[[#This Row],[Product]])," ",""))&gt;=2,"Spread","Future"))</f>
        <v>Future</v>
      </c>
      <c r="D32" t="str">
        <f ca="1">IFERROR(INDEX(exch_map[Exch],MATCH(rtd_data[[#This Row],[Group]],exch_map[Group],0)),"")</f>
        <v>ICE_L</v>
      </c>
      <c r="E32" s="11" t="str" cm="1">
        <f t="array" aca="1" ref="E32" ca="1">IFERROR(INDEX(_xlfn.ANCHORARRAY(contracts!$A$6),ROW()-ROW(rtd_data[#Headers]),2),"")</f>
        <v>Y</v>
      </c>
      <c r="F3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2" t="str">
        <f ca="1">IF(rtd_data[[#This Row],[Exch]]="","",IF(rtd_data[[#This Row],[Exch]]="ICE_L","ICE",rtd_data[[#This Row],[Exch]]))</f>
        <v>ICE</v>
      </c>
      <c r="I32" t="str">
        <f ca="1">IF(rtd_data[[#This Row],[Product]]="","",IFERROR(INDEX(exch_map[TT_Symbol],MATCH(rtd_data[[#This Row],[Group]],exch_map[Group],0))&amp;"",""))</f>
        <v>I</v>
      </c>
      <c r="J32" t="str">
        <f ca="1">IF(rtd_data[[#This Row],[Type]]="Future",PROPER(RIGHT(rtd_data[[#This Row],[Product]],5)),"")</f>
        <v>Oct26</v>
      </c>
    </row>
    <row r="33" spans="1:10" x14ac:dyDescent="0.25">
      <c r="A33" s="11" t="str" cm="1">
        <f t="array" aca="1" ref="A33" ca="1">IFERROR(INDEX(_xlfn.ANCHORARRAY(contracts!$A$6),ROW()-ROW(rtd_data[#Headers]),1),"")</f>
        <v>I NOV26</v>
      </c>
      <c r="B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3" t="str">
        <f ca="1">IF(rtd_data[[#This Row],[Product]]="","",IF(LEN(TRIM(rtd_data[[#This Row],[Product]]))-LEN(SUBSTITUTE(TRIM(rtd_data[[#This Row],[Product]])," ",""))&gt;=2,"Spread","Future"))</f>
        <v>Future</v>
      </c>
      <c r="D33" t="str">
        <f ca="1">IFERROR(INDEX(exch_map[Exch],MATCH(rtd_data[[#This Row],[Group]],exch_map[Group],0)),"")</f>
        <v>ICE_L</v>
      </c>
      <c r="E33" s="11" t="str" cm="1">
        <f t="array" aca="1" ref="E33" ca="1">IFERROR(INDEX(_xlfn.ANCHORARRAY(contracts!$A$6),ROW()-ROW(rtd_data[#Headers]),2),"")</f>
        <v>Y</v>
      </c>
      <c r="F3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3" t="str">
        <f ca="1">IF(rtd_data[[#This Row],[Exch]]="","",IF(rtd_data[[#This Row],[Exch]]="ICE_L","ICE",rtd_data[[#This Row],[Exch]]))</f>
        <v>ICE</v>
      </c>
      <c r="I33" t="str">
        <f ca="1">IF(rtd_data[[#This Row],[Product]]="","",IFERROR(INDEX(exch_map[TT_Symbol],MATCH(rtd_data[[#This Row],[Group]],exch_map[Group],0))&amp;"",""))</f>
        <v>I</v>
      </c>
      <c r="J33" t="str">
        <f ca="1">IF(rtd_data[[#This Row],[Type]]="Future",PROPER(RIGHT(rtd_data[[#This Row],[Product]],5)),"")</f>
        <v>Nov26</v>
      </c>
    </row>
    <row r="34" spans="1:10" x14ac:dyDescent="0.25">
      <c r="A34" s="11" t="str" cm="1">
        <f t="array" aca="1" ref="A34" ca="1">IFERROR(INDEX(_xlfn.ANCHORARRAY(contracts!$A$6),ROW()-ROW(rtd_data[#Headers]),1),"")</f>
        <v>I DEC26</v>
      </c>
      <c r="B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4" t="str">
        <f ca="1">IF(rtd_data[[#This Row],[Product]]="","",IF(LEN(TRIM(rtd_data[[#This Row],[Product]]))-LEN(SUBSTITUTE(TRIM(rtd_data[[#This Row],[Product]])," ",""))&gt;=2,"Spread","Future"))</f>
        <v>Future</v>
      </c>
      <c r="D34" t="str">
        <f ca="1">IFERROR(INDEX(exch_map[Exch],MATCH(rtd_data[[#This Row],[Group]],exch_map[Group],0)),"")</f>
        <v>ICE_L</v>
      </c>
      <c r="E34" s="11" t="str" cm="1">
        <f t="array" aca="1" ref="E34" ca="1">IFERROR(INDEX(_xlfn.ANCHORARRAY(contracts!$A$6),ROW()-ROW(rtd_data[#Headers]),2),"")</f>
        <v>Y</v>
      </c>
      <c r="F3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4" t="str">
        <f ca="1">IF(rtd_data[[#This Row],[Exch]]="","",IF(rtd_data[[#This Row],[Exch]]="ICE_L","ICE",rtd_data[[#This Row],[Exch]]))</f>
        <v>ICE</v>
      </c>
      <c r="I34" t="str">
        <f ca="1">IF(rtd_data[[#This Row],[Product]]="","",IFERROR(INDEX(exch_map[TT_Symbol],MATCH(rtd_data[[#This Row],[Group]],exch_map[Group],0))&amp;"",""))</f>
        <v>I</v>
      </c>
      <c r="J34" t="str">
        <f ca="1">IF(rtd_data[[#This Row],[Type]]="Future",PROPER(RIGHT(rtd_data[[#This Row],[Product]],5)),"")</f>
        <v>Dec26</v>
      </c>
    </row>
    <row r="35" spans="1:10" x14ac:dyDescent="0.25">
      <c r="A35" s="11" t="str" cm="1">
        <f t="array" aca="1" ref="A35" ca="1">IFERROR(INDEX(_xlfn.ANCHORARRAY(contracts!$A$6),ROW()-ROW(rtd_data[#Headers]),1),"")</f>
        <v>I JAN27</v>
      </c>
      <c r="B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5" t="str">
        <f ca="1">IF(rtd_data[[#This Row],[Product]]="","",IF(LEN(TRIM(rtd_data[[#This Row],[Product]]))-LEN(SUBSTITUTE(TRIM(rtd_data[[#This Row],[Product]])," ",""))&gt;=2,"Spread","Future"))</f>
        <v>Future</v>
      </c>
      <c r="D35" t="str">
        <f ca="1">IFERROR(INDEX(exch_map[Exch],MATCH(rtd_data[[#This Row],[Group]],exch_map[Group],0)),"")</f>
        <v>ICE_L</v>
      </c>
      <c r="E35" s="11" t="str" cm="1">
        <f t="array" aca="1" ref="E35" ca="1">IFERROR(INDEX(_xlfn.ANCHORARRAY(contracts!$A$6),ROW()-ROW(rtd_data[#Headers]),2),"")</f>
        <v>Y</v>
      </c>
      <c r="F3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5" t="str">
        <f ca="1">IF(rtd_data[[#This Row],[Exch]]="","",IF(rtd_data[[#This Row],[Exch]]="ICE_L","ICE",rtd_data[[#This Row],[Exch]]))</f>
        <v>ICE</v>
      </c>
      <c r="I35" t="str">
        <f ca="1">IF(rtd_data[[#This Row],[Product]]="","",IFERROR(INDEX(exch_map[TT_Symbol],MATCH(rtd_data[[#This Row],[Group]],exch_map[Group],0))&amp;"",""))</f>
        <v>I</v>
      </c>
      <c r="J35" t="str">
        <f ca="1">IF(rtd_data[[#This Row],[Type]]="Future",PROPER(RIGHT(rtd_data[[#This Row],[Product]],5)),"")</f>
        <v>Jan27</v>
      </c>
    </row>
    <row r="36" spans="1:10" x14ac:dyDescent="0.25">
      <c r="A36" s="11" t="str" cm="1">
        <f t="array" aca="1" ref="A36" ca="1">IFERROR(INDEX(_xlfn.ANCHORARRAY(contracts!$A$6),ROW()-ROW(rtd_data[#Headers]),1),"")</f>
        <v>I FEB27</v>
      </c>
      <c r="B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6" t="str">
        <f ca="1">IF(rtd_data[[#This Row],[Product]]="","",IF(LEN(TRIM(rtd_data[[#This Row],[Product]]))-LEN(SUBSTITUTE(TRIM(rtd_data[[#This Row],[Product]])," ",""))&gt;=2,"Spread","Future"))</f>
        <v>Future</v>
      </c>
      <c r="D36" t="str">
        <f ca="1">IFERROR(INDEX(exch_map[Exch],MATCH(rtd_data[[#This Row],[Group]],exch_map[Group],0)),"")</f>
        <v>ICE_L</v>
      </c>
      <c r="E36" s="11" t="str" cm="1">
        <f t="array" aca="1" ref="E36" ca="1">IFERROR(INDEX(_xlfn.ANCHORARRAY(contracts!$A$6),ROW()-ROW(rtd_data[#Headers]),2),"")</f>
        <v>Y</v>
      </c>
      <c r="F3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6" t="str">
        <f ca="1">IF(rtd_data[[#This Row],[Exch]]="","",IF(rtd_data[[#This Row],[Exch]]="ICE_L","ICE",rtd_data[[#This Row],[Exch]]))</f>
        <v>ICE</v>
      </c>
      <c r="I36" t="str">
        <f ca="1">IF(rtd_data[[#This Row],[Product]]="","",IFERROR(INDEX(exch_map[TT_Symbol],MATCH(rtd_data[[#This Row],[Group]],exch_map[Group],0))&amp;"",""))</f>
        <v>I</v>
      </c>
      <c r="J36" t="str">
        <f ca="1">IF(rtd_data[[#This Row],[Type]]="Future",PROPER(RIGHT(rtd_data[[#This Row],[Product]],5)),"")</f>
        <v>Feb27</v>
      </c>
    </row>
    <row r="37" spans="1:10" x14ac:dyDescent="0.25">
      <c r="A37" s="11" t="str" cm="1">
        <f t="array" aca="1" ref="A37" ca="1">IFERROR(INDEX(_xlfn.ANCHORARRAY(contracts!$A$6),ROW()-ROW(rtd_data[#Headers]),1),"")</f>
        <v>I MAR27</v>
      </c>
      <c r="B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7" t="str">
        <f ca="1">IF(rtd_data[[#This Row],[Product]]="","",IF(LEN(TRIM(rtd_data[[#This Row],[Product]]))-LEN(SUBSTITUTE(TRIM(rtd_data[[#This Row],[Product]])," ",""))&gt;=2,"Spread","Future"))</f>
        <v>Future</v>
      </c>
      <c r="D37" t="str">
        <f ca="1">IFERROR(INDEX(exch_map[Exch],MATCH(rtd_data[[#This Row],[Group]],exch_map[Group],0)),"")</f>
        <v>ICE_L</v>
      </c>
      <c r="E37" s="11" t="str" cm="1">
        <f t="array" aca="1" ref="E37" ca="1">IFERROR(INDEX(_xlfn.ANCHORARRAY(contracts!$A$6),ROW()-ROW(rtd_data[#Headers]),2),"")</f>
        <v>Y</v>
      </c>
      <c r="F3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7" t="str">
        <f ca="1">IF(rtd_data[[#This Row],[Exch]]="","",IF(rtd_data[[#This Row],[Exch]]="ICE_L","ICE",rtd_data[[#This Row],[Exch]]))</f>
        <v>ICE</v>
      </c>
      <c r="I37" t="str">
        <f ca="1">IF(rtd_data[[#This Row],[Product]]="","",IFERROR(INDEX(exch_map[TT_Symbol],MATCH(rtd_data[[#This Row],[Group]],exch_map[Group],0))&amp;"",""))</f>
        <v>I</v>
      </c>
      <c r="J37" t="str">
        <f ca="1">IF(rtd_data[[#This Row],[Type]]="Future",PROPER(RIGHT(rtd_data[[#This Row],[Product]],5)),"")</f>
        <v>Mar27</v>
      </c>
    </row>
    <row r="38" spans="1:10" x14ac:dyDescent="0.25">
      <c r="A38" s="11" t="str" cm="1">
        <f t="array" aca="1" ref="A38" ca="1">IFERROR(INDEX(_xlfn.ANCHORARRAY(contracts!$A$6),ROW()-ROW(rtd_data[#Headers]),1),"")</f>
        <v>I JUN27</v>
      </c>
      <c r="B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8" t="str">
        <f ca="1">IF(rtd_data[[#This Row],[Product]]="","",IF(LEN(TRIM(rtd_data[[#This Row],[Product]]))-LEN(SUBSTITUTE(TRIM(rtd_data[[#This Row],[Product]])," ",""))&gt;=2,"Spread","Future"))</f>
        <v>Future</v>
      </c>
      <c r="D38" t="str">
        <f ca="1">IFERROR(INDEX(exch_map[Exch],MATCH(rtd_data[[#This Row],[Group]],exch_map[Group],0)),"")</f>
        <v>ICE_L</v>
      </c>
      <c r="E38" s="11" t="str" cm="1">
        <f t="array" aca="1" ref="E38" ca="1">IFERROR(INDEX(_xlfn.ANCHORARRAY(contracts!$A$6),ROW()-ROW(rtd_data[#Headers]),2),"")</f>
        <v>Y</v>
      </c>
      <c r="F3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8" t="str">
        <f ca="1">IF(rtd_data[[#This Row],[Exch]]="","",IF(rtd_data[[#This Row],[Exch]]="ICE_L","ICE",rtd_data[[#This Row],[Exch]]))</f>
        <v>ICE</v>
      </c>
      <c r="I38" t="str">
        <f ca="1">IF(rtd_data[[#This Row],[Product]]="","",IFERROR(INDEX(exch_map[TT_Symbol],MATCH(rtd_data[[#This Row],[Group]],exch_map[Group],0))&amp;"",""))</f>
        <v>I</v>
      </c>
      <c r="J38" t="str">
        <f ca="1">IF(rtd_data[[#This Row],[Type]]="Future",PROPER(RIGHT(rtd_data[[#This Row],[Product]],5)),"")</f>
        <v>Jun27</v>
      </c>
    </row>
    <row r="39" spans="1:10" x14ac:dyDescent="0.25">
      <c r="A39" s="11" t="str" cm="1">
        <f t="array" aca="1" ref="A39" ca="1">IFERROR(INDEX(_xlfn.ANCHORARRAY(contracts!$A$6),ROW()-ROW(rtd_data[#Headers]),1),"")</f>
        <v>I SEP27</v>
      </c>
      <c r="B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9" t="str">
        <f ca="1">IF(rtd_data[[#This Row],[Product]]="","",IF(LEN(TRIM(rtd_data[[#This Row],[Product]]))-LEN(SUBSTITUTE(TRIM(rtd_data[[#This Row],[Product]])," ",""))&gt;=2,"Spread","Future"))</f>
        <v>Future</v>
      </c>
      <c r="D39" t="str">
        <f ca="1">IFERROR(INDEX(exch_map[Exch],MATCH(rtd_data[[#This Row],[Group]],exch_map[Group],0)),"")</f>
        <v>ICE_L</v>
      </c>
      <c r="E39" s="11" t="str" cm="1">
        <f t="array" aca="1" ref="E39" ca="1">IFERROR(INDEX(_xlfn.ANCHORARRAY(contracts!$A$6),ROW()-ROW(rtd_data[#Headers]),2),"")</f>
        <v>Y</v>
      </c>
      <c r="F3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3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39" t="str">
        <f ca="1">IF(rtd_data[[#This Row],[Exch]]="","",IF(rtd_data[[#This Row],[Exch]]="ICE_L","ICE",rtd_data[[#This Row],[Exch]]))</f>
        <v>ICE</v>
      </c>
      <c r="I39" t="str">
        <f ca="1">IF(rtd_data[[#This Row],[Product]]="","",IFERROR(INDEX(exch_map[TT_Symbol],MATCH(rtd_data[[#This Row],[Group]],exch_map[Group],0))&amp;"",""))</f>
        <v>I</v>
      </c>
      <c r="J39" t="str">
        <f ca="1">IF(rtd_data[[#This Row],[Type]]="Future",PROPER(RIGHT(rtd_data[[#This Row],[Product]],5)),"")</f>
        <v>Sep27</v>
      </c>
    </row>
    <row r="40" spans="1:10" x14ac:dyDescent="0.25">
      <c r="A40" s="11" t="str" cm="1">
        <f t="array" aca="1" ref="A40" ca="1">IFERROR(INDEX(_xlfn.ANCHORARRAY(contracts!$A$6),ROW()-ROW(rtd_data[#Headers]),1),"")</f>
        <v>I DEC27</v>
      </c>
      <c r="B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0" t="str">
        <f ca="1">IF(rtd_data[[#This Row],[Product]]="","",IF(LEN(TRIM(rtd_data[[#This Row],[Product]]))-LEN(SUBSTITUTE(TRIM(rtd_data[[#This Row],[Product]])," ",""))&gt;=2,"Spread","Future"))</f>
        <v>Future</v>
      </c>
      <c r="D40" t="str">
        <f ca="1">IFERROR(INDEX(exch_map[Exch],MATCH(rtd_data[[#This Row],[Group]],exch_map[Group],0)),"")</f>
        <v>ICE_L</v>
      </c>
      <c r="E40" s="11" t="str" cm="1">
        <f t="array" aca="1" ref="E40" ca="1">IFERROR(INDEX(_xlfn.ANCHORARRAY(contracts!$A$6),ROW()-ROW(rtd_data[#Headers]),2),"")</f>
        <v>Y</v>
      </c>
      <c r="F4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0" t="str">
        <f ca="1">IF(rtd_data[[#This Row],[Exch]]="","",IF(rtd_data[[#This Row],[Exch]]="ICE_L","ICE",rtd_data[[#This Row],[Exch]]))</f>
        <v>ICE</v>
      </c>
      <c r="I40" t="str">
        <f ca="1">IF(rtd_data[[#This Row],[Product]]="","",IFERROR(INDEX(exch_map[TT_Symbol],MATCH(rtd_data[[#This Row],[Group]],exch_map[Group],0))&amp;"",""))</f>
        <v>I</v>
      </c>
      <c r="J40" t="str">
        <f ca="1">IF(rtd_data[[#This Row],[Type]]="Future",PROPER(RIGHT(rtd_data[[#This Row],[Product]],5)),"")</f>
        <v>Dec27</v>
      </c>
    </row>
    <row r="41" spans="1:10" x14ac:dyDescent="0.25">
      <c r="A41" s="11" t="str" cm="1">
        <f t="array" aca="1" ref="A41" ca="1">IFERROR(INDEX(_xlfn.ANCHORARRAY(contracts!$A$6),ROW()-ROW(rtd_data[#Headers]),1),"")</f>
        <v>I MAR28</v>
      </c>
      <c r="B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1" t="str">
        <f ca="1">IF(rtd_data[[#This Row],[Product]]="","",IF(LEN(TRIM(rtd_data[[#This Row],[Product]]))-LEN(SUBSTITUTE(TRIM(rtd_data[[#This Row],[Product]])," ",""))&gt;=2,"Spread","Future"))</f>
        <v>Future</v>
      </c>
      <c r="D41" t="str">
        <f ca="1">IFERROR(INDEX(exch_map[Exch],MATCH(rtd_data[[#This Row],[Group]],exch_map[Group],0)),"")</f>
        <v>ICE_L</v>
      </c>
      <c r="E41" s="11" t="str" cm="1">
        <f t="array" aca="1" ref="E41" ca="1">IFERROR(INDEX(_xlfn.ANCHORARRAY(contracts!$A$6),ROW()-ROW(rtd_data[#Headers]),2),"")</f>
        <v>Y</v>
      </c>
      <c r="F4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1" t="str">
        <f ca="1">IF(rtd_data[[#This Row],[Exch]]="","",IF(rtd_data[[#This Row],[Exch]]="ICE_L","ICE",rtd_data[[#This Row],[Exch]]))</f>
        <v>ICE</v>
      </c>
      <c r="I41" t="str">
        <f ca="1">IF(rtd_data[[#This Row],[Product]]="","",IFERROR(INDEX(exch_map[TT_Symbol],MATCH(rtd_data[[#This Row],[Group]],exch_map[Group],0))&amp;"",""))</f>
        <v>I</v>
      </c>
      <c r="J41" t="str">
        <f ca="1">IF(rtd_data[[#This Row],[Type]]="Future",PROPER(RIGHT(rtd_data[[#This Row],[Product]],5)),"")</f>
        <v>Mar28</v>
      </c>
    </row>
    <row r="42" spans="1:10" x14ac:dyDescent="0.25">
      <c r="A42" s="11" t="str" cm="1">
        <f t="array" aca="1" ref="A42" ca="1">IFERROR(INDEX(_xlfn.ANCHORARRAY(contracts!$A$6),ROW()-ROW(rtd_data[#Headers]),1),"")</f>
        <v>I JUN28</v>
      </c>
      <c r="B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2" t="str">
        <f ca="1">IF(rtd_data[[#This Row],[Product]]="","",IF(LEN(TRIM(rtd_data[[#This Row],[Product]]))-LEN(SUBSTITUTE(TRIM(rtd_data[[#This Row],[Product]])," ",""))&gt;=2,"Spread","Future"))</f>
        <v>Future</v>
      </c>
      <c r="D42" t="str">
        <f ca="1">IFERROR(INDEX(exch_map[Exch],MATCH(rtd_data[[#This Row],[Group]],exch_map[Group],0)),"")</f>
        <v>ICE_L</v>
      </c>
      <c r="E42" s="11" t="str" cm="1">
        <f t="array" aca="1" ref="E42" ca="1">IFERROR(INDEX(_xlfn.ANCHORARRAY(contracts!$A$6),ROW()-ROW(rtd_data[#Headers]),2),"")</f>
        <v>Y</v>
      </c>
      <c r="F4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2" t="str">
        <f ca="1">IF(rtd_data[[#This Row],[Exch]]="","",IF(rtd_data[[#This Row],[Exch]]="ICE_L","ICE",rtd_data[[#This Row],[Exch]]))</f>
        <v>ICE</v>
      </c>
      <c r="I42" t="str">
        <f ca="1">IF(rtd_data[[#This Row],[Product]]="","",IFERROR(INDEX(exch_map[TT_Symbol],MATCH(rtd_data[[#This Row],[Group]],exch_map[Group],0))&amp;"",""))</f>
        <v>I</v>
      </c>
      <c r="J42" t="str">
        <f ca="1">IF(rtd_data[[#This Row],[Type]]="Future",PROPER(RIGHT(rtd_data[[#This Row],[Product]],5)),"")</f>
        <v>Jun28</v>
      </c>
    </row>
    <row r="43" spans="1:10" x14ac:dyDescent="0.25">
      <c r="A43" s="11" t="str" cm="1">
        <f t="array" aca="1" ref="A43" ca="1">IFERROR(INDEX(_xlfn.ANCHORARRAY(contracts!$A$6),ROW()-ROW(rtd_data[#Headers]),1),"")</f>
        <v>I SEP28</v>
      </c>
      <c r="B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3" t="str">
        <f ca="1">IF(rtd_data[[#This Row],[Product]]="","",IF(LEN(TRIM(rtd_data[[#This Row],[Product]]))-LEN(SUBSTITUTE(TRIM(rtd_data[[#This Row],[Product]])," ",""))&gt;=2,"Spread","Future"))</f>
        <v>Future</v>
      </c>
      <c r="D43" t="str">
        <f ca="1">IFERROR(INDEX(exch_map[Exch],MATCH(rtd_data[[#This Row],[Group]],exch_map[Group],0)),"")</f>
        <v>ICE_L</v>
      </c>
      <c r="E43" s="11" t="str" cm="1">
        <f t="array" aca="1" ref="E43" ca="1">IFERROR(INDEX(_xlfn.ANCHORARRAY(contracts!$A$6),ROW()-ROW(rtd_data[#Headers]),2),"")</f>
        <v>Y</v>
      </c>
      <c r="F4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3" t="str">
        <f ca="1">IF(rtd_data[[#This Row],[Exch]]="","",IF(rtd_data[[#This Row],[Exch]]="ICE_L","ICE",rtd_data[[#This Row],[Exch]]))</f>
        <v>ICE</v>
      </c>
      <c r="I43" t="str">
        <f ca="1">IF(rtd_data[[#This Row],[Product]]="","",IFERROR(INDEX(exch_map[TT_Symbol],MATCH(rtd_data[[#This Row],[Group]],exch_map[Group],0))&amp;"",""))</f>
        <v>I</v>
      </c>
      <c r="J43" t="str">
        <f ca="1">IF(rtd_data[[#This Row],[Type]]="Future",PROPER(RIGHT(rtd_data[[#This Row],[Product]],5)),"")</f>
        <v>Sep28</v>
      </c>
    </row>
    <row r="44" spans="1:10" x14ac:dyDescent="0.25">
      <c r="A44" s="11" t="str" cm="1">
        <f t="array" aca="1" ref="A44" ca="1">IFERROR(INDEX(_xlfn.ANCHORARRAY(contracts!$A$6),ROW()-ROW(rtd_data[#Headers]),1),"")</f>
        <v>I DEC28</v>
      </c>
      <c r="B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4" t="str">
        <f ca="1">IF(rtd_data[[#This Row],[Product]]="","",IF(LEN(TRIM(rtd_data[[#This Row],[Product]]))-LEN(SUBSTITUTE(TRIM(rtd_data[[#This Row],[Product]])," ",""))&gt;=2,"Spread","Future"))</f>
        <v>Future</v>
      </c>
      <c r="D44" t="str">
        <f ca="1">IFERROR(INDEX(exch_map[Exch],MATCH(rtd_data[[#This Row],[Group]],exch_map[Group],0)),"")</f>
        <v>ICE_L</v>
      </c>
      <c r="E44" s="11" t="str" cm="1">
        <f t="array" aca="1" ref="E44" ca="1">IFERROR(INDEX(_xlfn.ANCHORARRAY(contracts!$A$6),ROW()-ROW(rtd_data[#Headers]),2),"")</f>
        <v>Y</v>
      </c>
      <c r="F4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4" t="str">
        <f ca="1">IF(rtd_data[[#This Row],[Exch]]="","",IF(rtd_data[[#This Row],[Exch]]="ICE_L","ICE",rtd_data[[#This Row],[Exch]]))</f>
        <v>ICE</v>
      </c>
      <c r="I44" t="str">
        <f ca="1">IF(rtd_data[[#This Row],[Product]]="","",IFERROR(INDEX(exch_map[TT_Symbol],MATCH(rtd_data[[#This Row],[Group]],exch_map[Group],0))&amp;"",""))</f>
        <v>I</v>
      </c>
      <c r="J44" t="str">
        <f ca="1">IF(rtd_data[[#This Row],[Type]]="Future",PROPER(RIGHT(rtd_data[[#This Row],[Product]],5)),"")</f>
        <v>Dec28</v>
      </c>
    </row>
    <row r="45" spans="1:10" x14ac:dyDescent="0.25">
      <c r="A45" s="11" t="str" cm="1">
        <f t="array" aca="1" ref="A45" ca="1">IFERROR(INDEX(_xlfn.ANCHORARRAY(contracts!$A$6),ROW()-ROW(rtd_data[#Headers]),1),"")</f>
        <v>I MAR29</v>
      </c>
      <c r="B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5" t="str">
        <f ca="1">IF(rtd_data[[#This Row],[Product]]="","",IF(LEN(TRIM(rtd_data[[#This Row],[Product]]))-LEN(SUBSTITUTE(TRIM(rtd_data[[#This Row],[Product]])," ",""))&gt;=2,"Spread","Future"))</f>
        <v>Future</v>
      </c>
      <c r="D45" t="str">
        <f ca="1">IFERROR(INDEX(exch_map[Exch],MATCH(rtd_data[[#This Row],[Group]],exch_map[Group],0)),"")</f>
        <v>ICE_L</v>
      </c>
      <c r="E45" s="11" t="str" cm="1">
        <f t="array" aca="1" ref="E45" ca="1">IFERROR(INDEX(_xlfn.ANCHORARRAY(contracts!$A$6),ROW()-ROW(rtd_data[#Headers]),2),"")</f>
        <v>Y</v>
      </c>
      <c r="F4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5" t="str">
        <f ca="1">IF(rtd_data[[#This Row],[Exch]]="","",IF(rtd_data[[#This Row],[Exch]]="ICE_L","ICE",rtd_data[[#This Row],[Exch]]))</f>
        <v>ICE</v>
      </c>
      <c r="I45" t="str">
        <f ca="1">IF(rtd_data[[#This Row],[Product]]="","",IFERROR(INDEX(exch_map[TT_Symbol],MATCH(rtd_data[[#This Row],[Group]],exch_map[Group],0))&amp;"",""))</f>
        <v>I</v>
      </c>
      <c r="J45" t="str">
        <f ca="1">IF(rtd_data[[#This Row],[Type]]="Future",PROPER(RIGHT(rtd_data[[#This Row],[Product]],5)),"")</f>
        <v>Mar29</v>
      </c>
    </row>
    <row r="46" spans="1:10" x14ac:dyDescent="0.25">
      <c r="A46" s="11" t="str" cm="1">
        <f t="array" aca="1" ref="A46" ca="1">IFERROR(INDEX(_xlfn.ANCHORARRAY(contracts!$A$6),ROW()-ROW(rtd_data[#Headers]),1),"")</f>
        <v>I JUN29</v>
      </c>
      <c r="B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6" t="str">
        <f ca="1">IF(rtd_data[[#This Row],[Product]]="","",IF(LEN(TRIM(rtd_data[[#This Row],[Product]]))-LEN(SUBSTITUTE(TRIM(rtd_data[[#This Row],[Product]])," ",""))&gt;=2,"Spread","Future"))</f>
        <v>Future</v>
      </c>
      <c r="D46" t="str">
        <f ca="1">IFERROR(INDEX(exch_map[Exch],MATCH(rtd_data[[#This Row],[Group]],exch_map[Group],0)),"")</f>
        <v>ICE_L</v>
      </c>
      <c r="E46" s="11" t="str" cm="1">
        <f t="array" aca="1" ref="E46" ca="1">IFERROR(INDEX(_xlfn.ANCHORARRAY(contracts!$A$6),ROW()-ROW(rtd_data[#Headers]),2),"")</f>
        <v>Y</v>
      </c>
      <c r="F4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6" t="str">
        <f ca="1">IF(rtd_data[[#This Row],[Exch]]="","",IF(rtd_data[[#This Row],[Exch]]="ICE_L","ICE",rtd_data[[#This Row],[Exch]]))</f>
        <v>ICE</v>
      </c>
      <c r="I46" t="str">
        <f ca="1">IF(rtd_data[[#This Row],[Product]]="","",IFERROR(INDEX(exch_map[TT_Symbol],MATCH(rtd_data[[#This Row],[Group]],exch_map[Group],0))&amp;"",""))</f>
        <v>I</v>
      </c>
      <c r="J46" t="str">
        <f ca="1">IF(rtd_data[[#This Row],[Type]]="Future",PROPER(RIGHT(rtd_data[[#This Row],[Product]],5)),"")</f>
        <v>Jun29</v>
      </c>
    </row>
    <row r="47" spans="1:10" x14ac:dyDescent="0.25">
      <c r="A47" s="11" t="str" cm="1">
        <f t="array" aca="1" ref="A47" ca="1">IFERROR(INDEX(_xlfn.ANCHORARRAY(contracts!$A$6),ROW()-ROW(rtd_data[#Headers]),1),"")</f>
        <v>I SEP29</v>
      </c>
      <c r="B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7" t="str">
        <f ca="1">IF(rtd_data[[#This Row],[Product]]="","",IF(LEN(TRIM(rtd_data[[#This Row],[Product]]))-LEN(SUBSTITUTE(TRIM(rtd_data[[#This Row],[Product]])," ",""))&gt;=2,"Spread","Future"))</f>
        <v>Future</v>
      </c>
      <c r="D47" t="str">
        <f ca="1">IFERROR(INDEX(exch_map[Exch],MATCH(rtd_data[[#This Row],[Group]],exch_map[Group],0)),"")</f>
        <v>ICE_L</v>
      </c>
      <c r="E47" s="11" t="str" cm="1">
        <f t="array" aca="1" ref="E47" ca="1">IFERROR(INDEX(_xlfn.ANCHORARRAY(contracts!$A$6),ROW()-ROW(rtd_data[#Headers]),2),"")</f>
        <v>Y</v>
      </c>
      <c r="F4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7" t="str">
        <f ca="1">IF(rtd_data[[#This Row],[Exch]]="","",IF(rtd_data[[#This Row],[Exch]]="ICE_L","ICE",rtd_data[[#This Row],[Exch]]))</f>
        <v>ICE</v>
      </c>
      <c r="I47" t="str">
        <f ca="1">IF(rtd_data[[#This Row],[Product]]="","",IFERROR(INDEX(exch_map[TT_Symbol],MATCH(rtd_data[[#This Row],[Group]],exch_map[Group],0))&amp;"",""))</f>
        <v>I</v>
      </c>
      <c r="J47" t="str">
        <f ca="1">IF(rtd_data[[#This Row],[Type]]="Future",PROPER(RIGHT(rtd_data[[#This Row],[Product]],5)),"")</f>
        <v>Sep29</v>
      </c>
    </row>
    <row r="48" spans="1:10" x14ac:dyDescent="0.25">
      <c r="A48" s="11" t="str" cm="1">
        <f t="array" aca="1" ref="A48" ca="1">IFERROR(INDEX(_xlfn.ANCHORARRAY(contracts!$A$6),ROW()-ROW(rtd_data[#Headers]),1),"")</f>
        <v>I DEC29</v>
      </c>
      <c r="B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8" t="str">
        <f ca="1">IF(rtd_data[[#This Row],[Product]]="","",IF(LEN(TRIM(rtd_data[[#This Row],[Product]]))-LEN(SUBSTITUTE(TRIM(rtd_data[[#This Row],[Product]])," ",""))&gt;=2,"Spread","Future"))</f>
        <v>Future</v>
      </c>
      <c r="D48" t="str">
        <f ca="1">IFERROR(INDEX(exch_map[Exch],MATCH(rtd_data[[#This Row],[Group]],exch_map[Group],0)),"")</f>
        <v>ICE_L</v>
      </c>
      <c r="E48" s="11" t="str" cm="1">
        <f t="array" aca="1" ref="E48" ca="1">IFERROR(INDEX(_xlfn.ANCHORARRAY(contracts!$A$6),ROW()-ROW(rtd_data[#Headers]),2),"")</f>
        <v>Y</v>
      </c>
      <c r="F4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8" t="str">
        <f ca="1">IF(rtd_data[[#This Row],[Exch]]="","",IF(rtd_data[[#This Row],[Exch]]="ICE_L","ICE",rtd_data[[#This Row],[Exch]]))</f>
        <v>ICE</v>
      </c>
      <c r="I48" t="str">
        <f ca="1">IF(rtd_data[[#This Row],[Product]]="","",IFERROR(INDEX(exch_map[TT_Symbol],MATCH(rtd_data[[#This Row],[Group]],exch_map[Group],0))&amp;"",""))</f>
        <v>I</v>
      </c>
      <c r="J48" t="str">
        <f ca="1">IF(rtd_data[[#This Row],[Type]]="Future",PROPER(RIGHT(rtd_data[[#This Row],[Product]],5)),"")</f>
        <v>Dec29</v>
      </c>
    </row>
    <row r="49" spans="1:10" x14ac:dyDescent="0.25">
      <c r="A49" s="11" t="str" cm="1">
        <f t="array" aca="1" ref="A49" ca="1">IFERROR(INDEX(_xlfn.ANCHORARRAY(contracts!$A$6),ROW()-ROW(rtd_data[#Headers]),1),"")</f>
        <v>I MAR30</v>
      </c>
      <c r="B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9" t="str">
        <f ca="1">IF(rtd_data[[#This Row],[Product]]="","",IF(LEN(TRIM(rtd_data[[#This Row],[Product]]))-LEN(SUBSTITUTE(TRIM(rtd_data[[#This Row],[Product]])," ",""))&gt;=2,"Spread","Future"))</f>
        <v>Future</v>
      </c>
      <c r="D49" t="str">
        <f ca="1">IFERROR(INDEX(exch_map[Exch],MATCH(rtd_data[[#This Row],[Group]],exch_map[Group],0)),"")</f>
        <v>ICE_L</v>
      </c>
      <c r="E49" s="11" t="str" cm="1">
        <f t="array" aca="1" ref="E49" ca="1">IFERROR(INDEX(_xlfn.ANCHORARRAY(contracts!$A$6),ROW()-ROW(rtd_data[#Headers]),2),"")</f>
        <v>Y</v>
      </c>
      <c r="F4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4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49" t="str">
        <f ca="1">IF(rtd_data[[#This Row],[Exch]]="","",IF(rtd_data[[#This Row],[Exch]]="ICE_L","ICE",rtd_data[[#This Row],[Exch]]))</f>
        <v>ICE</v>
      </c>
      <c r="I49" t="str">
        <f ca="1">IF(rtd_data[[#This Row],[Product]]="","",IFERROR(INDEX(exch_map[TT_Symbol],MATCH(rtd_data[[#This Row],[Group]],exch_map[Group],0))&amp;"",""))</f>
        <v>I</v>
      </c>
      <c r="J49" t="str">
        <f ca="1">IF(rtd_data[[#This Row],[Type]]="Future",PROPER(RIGHT(rtd_data[[#This Row],[Product]],5)),"")</f>
        <v>Mar30</v>
      </c>
    </row>
    <row r="50" spans="1:10" x14ac:dyDescent="0.25">
      <c r="A50" s="11" t="str" cm="1">
        <f t="array" aca="1" ref="A50" ca="1">IFERROR(INDEX(_xlfn.ANCHORARRAY(contracts!$A$6),ROW()-ROW(rtd_data[#Headers]),1),"")</f>
        <v>I JUN30</v>
      </c>
      <c r="B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0" t="str">
        <f ca="1">IF(rtd_data[[#This Row],[Product]]="","",IF(LEN(TRIM(rtd_data[[#This Row],[Product]]))-LEN(SUBSTITUTE(TRIM(rtd_data[[#This Row],[Product]])," ",""))&gt;=2,"Spread","Future"))</f>
        <v>Future</v>
      </c>
      <c r="D50" t="str">
        <f ca="1">IFERROR(INDEX(exch_map[Exch],MATCH(rtd_data[[#This Row],[Group]],exch_map[Group],0)),"")</f>
        <v>ICE_L</v>
      </c>
      <c r="E50" s="11" t="str" cm="1">
        <f t="array" aca="1" ref="E50" ca="1">IFERROR(INDEX(_xlfn.ANCHORARRAY(contracts!$A$6),ROW()-ROW(rtd_data[#Headers]),2),"")</f>
        <v>Y</v>
      </c>
      <c r="F5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0" t="str">
        <f ca="1">IF(rtd_data[[#This Row],[Exch]]="","",IF(rtd_data[[#This Row],[Exch]]="ICE_L","ICE",rtd_data[[#This Row],[Exch]]))</f>
        <v>ICE</v>
      </c>
      <c r="I50" t="str">
        <f ca="1">IF(rtd_data[[#This Row],[Product]]="","",IFERROR(INDEX(exch_map[TT_Symbol],MATCH(rtd_data[[#This Row],[Group]],exch_map[Group],0))&amp;"",""))</f>
        <v>I</v>
      </c>
      <c r="J50" t="str">
        <f ca="1">IF(rtd_data[[#This Row],[Type]]="Future",PROPER(RIGHT(rtd_data[[#This Row],[Product]],5)),"")</f>
        <v>Jun30</v>
      </c>
    </row>
    <row r="51" spans="1:10" x14ac:dyDescent="0.25">
      <c r="A51" s="11" t="str" cm="1">
        <f t="array" aca="1" ref="A51" ca="1">IFERROR(INDEX(_xlfn.ANCHORARRAY(contracts!$A$6),ROW()-ROW(rtd_data[#Headers]),1),"")</f>
        <v>I SEP30</v>
      </c>
      <c r="B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1" t="str">
        <f ca="1">IF(rtd_data[[#This Row],[Product]]="","",IF(LEN(TRIM(rtd_data[[#This Row],[Product]]))-LEN(SUBSTITUTE(TRIM(rtd_data[[#This Row],[Product]])," ",""))&gt;=2,"Spread","Future"))</f>
        <v>Future</v>
      </c>
      <c r="D51" t="str">
        <f ca="1">IFERROR(INDEX(exch_map[Exch],MATCH(rtd_data[[#This Row],[Group]],exch_map[Group],0)),"")</f>
        <v>ICE_L</v>
      </c>
      <c r="E51" s="11" t="str" cm="1">
        <f t="array" aca="1" ref="E51" ca="1">IFERROR(INDEX(_xlfn.ANCHORARRAY(contracts!$A$6),ROW()-ROW(rtd_data[#Headers]),2),"")</f>
        <v>Y</v>
      </c>
      <c r="F5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1" t="str">
        <f ca="1">IF(rtd_data[[#This Row],[Exch]]="","",IF(rtd_data[[#This Row],[Exch]]="ICE_L","ICE",rtd_data[[#This Row],[Exch]]))</f>
        <v>ICE</v>
      </c>
      <c r="I51" t="str">
        <f ca="1">IF(rtd_data[[#This Row],[Product]]="","",IFERROR(INDEX(exch_map[TT_Symbol],MATCH(rtd_data[[#This Row],[Group]],exch_map[Group],0))&amp;"",""))</f>
        <v>I</v>
      </c>
      <c r="J51" t="str">
        <f ca="1">IF(rtd_data[[#This Row],[Type]]="Future",PROPER(RIGHT(rtd_data[[#This Row],[Product]],5)),"")</f>
        <v>Sep30</v>
      </c>
    </row>
    <row r="52" spans="1:10" x14ac:dyDescent="0.25">
      <c r="A52" s="11" t="str" cm="1">
        <f t="array" aca="1" ref="A52" ca="1">IFERROR(INDEX(_xlfn.ANCHORARRAY(contracts!$A$6),ROW()-ROW(rtd_data[#Headers]),1),"")</f>
        <v>I DEC30</v>
      </c>
      <c r="B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2" t="str">
        <f ca="1">IF(rtd_data[[#This Row],[Product]]="","",IF(LEN(TRIM(rtd_data[[#This Row],[Product]]))-LEN(SUBSTITUTE(TRIM(rtd_data[[#This Row],[Product]])," ",""))&gt;=2,"Spread","Future"))</f>
        <v>Future</v>
      </c>
      <c r="D52" t="str">
        <f ca="1">IFERROR(INDEX(exch_map[Exch],MATCH(rtd_data[[#This Row],[Group]],exch_map[Group],0)),"")</f>
        <v>ICE_L</v>
      </c>
      <c r="E52" s="11" t="str" cm="1">
        <f t="array" aca="1" ref="E52" ca="1">IFERROR(INDEX(_xlfn.ANCHORARRAY(contracts!$A$6),ROW()-ROW(rtd_data[#Headers]),2),"")</f>
        <v>Y</v>
      </c>
      <c r="F5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2" t="str">
        <f ca="1">IF(rtd_data[[#This Row],[Exch]]="","",IF(rtd_data[[#This Row],[Exch]]="ICE_L","ICE",rtd_data[[#This Row],[Exch]]))</f>
        <v>ICE</v>
      </c>
      <c r="I52" t="str">
        <f ca="1">IF(rtd_data[[#This Row],[Product]]="","",IFERROR(INDEX(exch_map[TT_Symbol],MATCH(rtd_data[[#This Row],[Group]],exch_map[Group],0))&amp;"",""))</f>
        <v>I</v>
      </c>
      <c r="J52" t="str">
        <f ca="1">IF(rtd_data[[#This Row],[Type]]="Future",PROPER(RIGHT(rtd_data[[#This Row],[Product]],5)),"")</f>
        <v>Dec30</v>
      </c>
    </row>
    <row r="53" spans="1:10" x14ac:dyDescent="0.25">
      <c r="A53" s="11" t="str" cm="1">
        <f t="array" aca="1" ref="A53" ca="1">IFERROR(INDEX(_xlfn.ANCHORARRAY(contracts!$A$6),ROW()-ROW(rtd_data[#Headers]),1),"")</f>
        <v>I MAR31</v>
      </c>
      <c r="B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3" t="str">
        <f ca="1">IF(rtd_data[[#This Row],[Product]]="","",IF(LEN(TRIM(rtd_data[[#This Row],[Product]]))-LEN(SUBSTITUTE(TRIM(rtd_data[[#This Row],[Product]])," ",""))&gt;=2,"Spread","Future"))</f>
        <v>Future</v>
      </c>
      <c r="D53" t="str">
        <f ca="1">IFERROR(INDEX(exch_map[Exch],MATCH(rtd_data[[#This Row],[Group]],exch_map[Group],0)),"")</f>
        <v>ICE_L</v>
      </c>
      <c r="E53" s="11" t="str" cm="1">
        <f t="array" aca="1" ref="E53" ca="1">IFERROR(INDEX(_xlfn.ANCHORARRAY(contracts!$A$6),ROW()-ROW(rtd_data[#Headers]),2),"")</f>
        <v>Y</v>
      </c>
      <c r="F5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3" t="str">
        <f ca="1">IF(rtd_data[[#This Row],[Exch]]="","",IF(rtd_data[[#This Row],[Exch]]="ICE_L","ICE",rtd_data[[#This Row],[Exch]]))</f>
        <v>ICE</v>
      </c>
      <c r="I53" t="str">
        <f ca="1">IF(rtd_data[[#This Row],[Product]]="","",IFERROR(INDEX(exch_map[TT_Symbol],MATCH(rtd_data[[#This Row],[Group]],exch_map[Group],0))&amp;"",""))</f>
        <v>I</v>
      </c>
      <c r="J53" t="str">
        <f ca="1">IF(rtd_data[[#This Row],[Type]]="Future",PROPER(RIGHT(rtd_data[[#This Row],[Product]],5)),"")</f>
        <v>Mar31</v>
      </c>
    </row>
    <row r="54" spans="1:10" x14ac:dyDescent="0.25">
      <c r="A54" s="11" t="str" cm="1">
        <f t="array" aca="1" ref="A54" ca="1">IFERROR(INDEX(_xlfn.ANCHORARRAY(contracts!$A$6),ROW()-ROW(rtd_data[#Headers]),1),"")</f>
        <v>I JUN31</v>
      </c>
      <c r="B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4" t="str">
        <f ca="1">IF(rtd_data[[#This Row],[Product]]="","",IF(LEN(TRIM(rtd_data[[#This Row],[Product]]))-LEN(SUBSTITUTE(TRIM(rtd_data[[#This Row],[Product]])," ",""))&gt;=2,"Spread","Future"))</f>
        <v>Future</v>
      </c>
      <c r="D54" t="str">
        <f ca="1">IFERROR(INDEX(exch_map[Exch],MATCH(rtd_data[[#This Row],[Group]],exch_map[Group],0)),"")</f>
        <v>ICE_L</v>
      </c>
      <c r="E54" s="11" t="str" cm="1">
        <f t="array" aca="1" ref="E54" ca="1">IFERROR(INDEX(_xlfn.ANCHORARRAY(contracts!$A$6),ROW()-ROW(rtd_data[#Headers]),2),"")</f>
        <v>Y</v>
      </c>
      <c r="F5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4" t="str">
        <f ca="1">IF(rtd_data[[#This Row],[Exch]]="","",IF(rtd_data[[#This Row],[Exch]]="ICE_L","ICE",rtd_data[[#This Row],[Exch]]))</f>
        <v>ICE</v>
      </c>
      <c r="I54" t="str">
        <f ca="1">IF(rtd_data[[#This Row],[Product]]="","",IFERROR(INDEX(exch_map[TT_Symbol],MATCH(rtd_data[[#This Row],[Group]],exch_map[Group],0))&amp;"",""))</f>
        <v>I</v>
      </c>
      <c r="J54" t="str">
        <f ca="1">IF(rtd_data[[#This Row],[Type]]="Future",PROPER(RIGHT(rtd_data[[#This Row],[Product]],5)),"")</f>
        <v>Jun31</v>
      </c>
    </row>
    <row r="55" spans="1:10" x14ac:dyDescent="0.25">
      <c r="A55" s="11" t="str" cm="1">
        <f t="array" aca="1" ref="A55" ca="1">IFERROR(INDEX(_xlfn.ANCHORARRAY(contracts!$A$6),ROW()-ROW(rtd_data[#Headers]),1),"")</f>
        <v>I SEP31</v>
      </c>
      <c r="B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5" t="str">
        <f ca="1">IF(rtd_data[[#This Row],[Product]]="","",IF(LEN(TRIM(rtd_data[[#This Row],[Product]]))-LEN(SUBSTITUTE(TRIM(rtd_data[[#This Row],[Product]])," ",""))&gt;=2,"Spread","Future"))</f>
        <v>Future</v>
      </c>
      <c r="D55" t="str">
        <f ca="1">IFERROR(INDEX(exch_map[Exch],MATCH(rtd_data[[#This Row],[Group]],exch_map[Group],0)),"")</f>
        <v>ICE_L</v>
      </c>
      <c r="E55" s="11" t="str" cm="1">
        <f t="array" aca="1" ref="E55" ca="1">IFERROR(INDEX(_xlfn.ANCHORARRAY(contracts!$A$6),ROW()-ROW(rtd_data[#Headers]),2),"")</f>
        <v>Y</v>
      </c>
      <c r="F5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5" t="str">
        <f ca="1">IF(rtd_data[[#This Row],[Exch]]="","",IF(rtd_data[[#This Row],[Exch]]="ICE_L","ICE",rtd_data[[#This Row],[Exch]]))</f>
        <v>ICE</v>
      </c>
      <c r="I55" t="str">
        <f ca="1">IF(rtd_data[[#This Row],[Product]]="","",IFERROR(INDEX(exch_map[TT_Symbol],MATCH(rtd_data[[#This Row],[Group]],exch_map[Group],0))&amp;"",""))</f>
        <v>I</v>
      </c>
      <c r="J55" t="str">
        <f ca="1">IF(rtd_data[[#This Row],[Type]]="Future",PROPER(RIGHT(rtd_data[[#This Row],[Product]],5)),"")</f>
        <v>Sep31</v>
      </c>
    </row>
    <row r="56" spans="1:10" x14ac:dyDescent="0.25">
      <c r="A56" s="11" t="str" cm="1">
        <f t="array" aca="1" ref="A56" ca="1">IFERROR(INDEX(_xlfn.ANCHORARRAY(contracts!$A$6),ROW()-ROW(rtd_data[#Headers]),1),"")</f>
        <v>I DEC31</v>
      </c>
      <c r="B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6" t="str">
        <f ca="1">IF(rtd_data[[#This Row],[Product]]="","",IF(LEN(TRIM(rtd_data[[#This Row],[Product]]))-LEN(SUBSTITUTE(TRIM(rtd_data[[#This Row],[Product]])," ",""))&gt;=2,"Spread","Future"))</f>
        <v>Future</v>
      </c>
      <c r="D56" t="str">
        <f ca="1">IFERROR(INDEX(exch_map[Exch],MATCH(rtd_data[[#This Row],[Group]],exch_map[Group],0)),"")</f>
        <v>ICE_L</v>
      </c>
      <c r="E56" s="11" t="str" cm="1">
        <f t="array" aca="1" ref="E56" ca="1">IFERROR(INDEX(_xlfn.ANCHORARRAY(contracts!$A$6),ROW()-ROW(rtd_data[#Headers]),2),"")</f>
        <v>Y</v>
      </c>
      <c r="F5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6" t="str">
        <f ca="1">IF(rtd_data[[#This Row],[Exch]]="","",IF(rtd_data[[#This Row],[Exch]]="ICE_L","ICE",rtd_data[[#This Row],[Exch]]))</f>
        <v>ICE</v>
      </c>
      <c r="I56" t="str">
        <f ca="1">IF(rtd_data[[#This Row],[Product]]="","",IFERROR(INDEX(exch_map[TT_Symbol],MATCH(rtd_data[[#This Row],[Group]],exch_map[Group],0))&amp;"",""))</f>
        <v>I</v>
      </c>
      <c r="J56" t="str">
        <f ca="1">IF(rtd_data[[#This Row],[Type]]="Future",PROPER(RIGHT(rtd_data[[#This Row],[Product]],5)),"")</f>
        <v>Dec31</v>
      </c>
    </row>
    <row r="57" spans="1:10" x14ac:dyDescent="0.25">
      <c r="A57" s="11" t="str" cm="1">
        <f t="array" aca="1" ref="A57" ca="1">IFERROR(INDEX(_xlfn.ANCHORARRAY(contracts!$A$6),ROW()-ROW(rtd_data[#Headers]),1),"")</f>
        <v>I MAR32</v>
      </c>
      <c r="B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7" t="str">
        <f ca="1">IF(rtd_data[[#This Row],[Product]]="","",IF(LEN(TRIM(rtd_data[[#This Row],[Product]]))-LEN(SUBSTITUTE(TRIM(rtd_data[[#This Row],[Product]])," ",""))&gt;=2,"Spread","Future"))</f>
        <v>Future</v>
      </c>
      <c r="D57" t="str">
        <f ca="1">IFERROR(INDEX(exch_map[Exch],MATCH(rtd_data[[#This Row],[Group]],exch_map[Group],0)),"")</f>
        <v>ICE_L</v>
      </c>
      <c r="E57" s="11" t="str" cm="1">
        <f t="array" aca="1" ref="E57" ca="1">IFERROR(INDEX(_xlfn.ANCHORARRAY(contracts!$A$6),ROW()-ROW(rtd_data[#Headers]),2),"")</f>
        <v>Y</v>
      </c>
      <c r="F5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7" t="str">
        <f ca="1">IF(rtd_data[[#This Row],[Exch]]="","",IF(rtd_data[[#This Row],[Exch]]="ICE_L","ICE",rtd_data[[#This Row],[Exch]]))</f>
        <v>ICE</v>
      </c>
      <c r="I57" t="str">
        <f ca="1">IF(rtd_data[[#This Row],[Product]]="","",IFERROR(INDEX(exch_map[TT_Symbol],MATCH(rtd_data[[#This Row],[Group]],exch_map[Group],0))&amp;"",""))</f>
        <v>I</v>
      </c>
      <c r="J57" t="str">
        <f ca="1">IF(rtd_data[[#This Row],[Type]]="Future",PROPER(RIGHT(rtd_data[[#This Row],[Product]],5)),"")</f>
        <v>Mar32</v>
      </c>
    </row>
    <row r="58" spans="1:10" x14ac:dyDescent="0.25">
      <c r="A58" s="11" t="str" cm="1">
        <f t="array" aca="1" ref="A58" ca="1">IFERROR(INDEX(_xlfn.ANCHORARRAY(contracts!$A$6),ROW()-ROW(rtd_data[#Headers]),1),"")</f>
        <v>I JUN32</v>
      </c>
      <c r="B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8" t="str">
        <f ca="1">IF(rtd_data[[#This Row],[Product]]="","",IF(LEN(TRIM(rtd_data[[#This Row],[Product]]))-LEN(SUBSTITUTE(TRIM(rtd_data[[#This Row],[Product]])," ",""))&gt;=2,"Spread","Future"))</f>
        <v>Future</v>
      </c>
      <c r="D58" t="str">
        <f ca="1">IFERROR(INDEX(exch_map[Exch],MATCH(rtd_data[[#This Row],[Group]],exch_map[Group],0)),"")</f>
        <v>ICE_L</v>
      </c>
      <c r="E58" s="11" t="str" cm="1">
        <f t="array" aca="1" ref="E58" ca="1">IFERROR(INDEX(_xlfn.ANCHORARRAY(contracts!$A$6),ROW()-ROW(rtd_data[#Headers]),2),"")</f>
        <v>Y</v>
      </c>
      <c r="F5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8" t="str">
        <f ca="1">IF(rtd_data[[#This Row],[Exch]]="","",IF(rtd_data[[#This Row],[Exch]]="ICE_L","ICE",rtd_data[[#This Row],[Exch]]))</f>
        <v>ICE</v>
      </c>
      <c r="I58" t="str">
        <f ca="1">IF(rtd_data[[#This Row],[Product]]="","",IFERROR(INDEX(exch_map[TT_Symbol],MATCH(rtd_data[[#This Row],[Group]],exch_map[Group],0))&amp;"",""))</f>
        <v>I</v>
      </c>
      <c r="J58" t="str">
        <f ca="1">IF(rtd_data[[#This Row],[Type]]="Future",PROPER(RIGHT(rtd_data[[#This Row],[Product]],5)),"")</f>
        <v>Jun32</v>
      </c>
    </row>
    <row r="59" spans="1:10" x14ac:dyDescent="0.25">
      <c r="A59" s="11" t="str" cm="1">
        <f t="array" aca="1" ref="A59" ca="1">IFERROR(INDEX(_xlfn.ANCHORARRAY(contracts!$A$6),ROW()-ROW(rtd_data[#Headers]),1),"")</f>
        <v>I SEP32</v>
      </c>
      <c r="B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9" t="str">
        <f ca="1">IF(rtd_data[[#This Row],[Product]]="","",IF(LEN(TRIM(rtd_data[[#This Row],[Product]]))-LEN(SUBSTITUTE(TRIM(rtd_data[[#This Row],[Product]])," ",""))&gt;=2,"Spread","Future"))</f>
        <v>Future</v>
      </c>
      <c r="D59" t="str">
        <f ca="1">IFERROR(INDEX(exch_map[Exch],MATCH(rtd_data[[#This Row],[Group]],exch_map[Group],0)),"")</f>
        <v>ICE_L</v>
      </c>
      <c r="E59" s="11" t="str" cm="1">
        <f t="array" aca="1" ref="E59" ca="1">IFERROR(INDEX(_xlfn.ANCHORARRAY(contracts!$A$6),ROW()-ROW(rtd_data[#Headers]),2),"")</f>
        <v>Y</v>
      </c>
      <c r="F5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5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59" t="str">
        <f ca="1">IF(rtd_data[[#This Row],[Exch]]="","",IF(rtd_data[[#This Row],[Exch]]="ICE_L","ICE",rtd_data[[#This Row],[Exch]]))</f>
        <v>ICE</v>
      </c>
      <c r="I59" t="str">
        <f ca="1">IF(rtd_data[[#This Row],[Product]]="","",IFERROR(INDEX(exch_map[TT_Symbol],MATCH(rtd_data[[#This Row],[Group]],exch_map[Group],0))&amp;"",""))</f>
        <v>I</v>
      </c>
      <c r="J59" t="str">
        <f ca="1">IF(rtd_data[[#This Row],[Type]]="Future",PROPER(RIGHT(rtd_data[[#This Row],[Product]],5)),"")</f>
        <v>Sep32</v>
      </c>
    </row>
    <row r="60" spans="1:10" x14ac:dyDescent="0.25">
      <c r="A60" s="11" t="str" cm="1">
        <f t="array" aca="1" ref="A60" ca="1">IFERROR(INDEX(_xlfn.ANCHORARRAY(contracts!$A$6),ROW()-ROW(rtd_data[#Headers]),1),"")</f>
        <v>I Oct26 - ER3 Oct26 Inter-Product</v>
      </c>
      <c r="B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0" t="str">
        <f ca="1">IF(rtd_data[[#This Row],[Product]]="","",IF(LEN(TRIM(rtd_data[[#This Row],[Product]]))-LEN(SUBSTITUTE(TRIM(rtd_data[[#This Row],[Product]])," ",""))&gt;=2,"Spread","Future"))</f>
        <v>Spread</v>
      </c>
      <c r="D60" t="str">
        <f ca="1">IFERROR(INDEX(exch_map[Exch],MATCH(rtd_data[[#This Row],[Group]],exch_map[Group],0)),"")</f>
        <v>ICE_L</v>
      </c>
      <c r="E60" s="11" t="str" cm="1">
        <f t="array" aca="1" ref="E60" ca="1">IFERROR(INDEX(_xlfn.ANCHORARRAY(contracts!$A$6),ROW()-ROW(rtd_data[#Headers]),2),"")</f>
        <v>Y</v>
      </c>
      <c r="F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0" t="str">
        <f ca="1">IF(rtd_data[[#This Row],[Exch]]="","",IF(rtd_data[[#This Row],[Exch]]="ICE_L","ICE",rtd_data[[#This Row],[Exch]]))</f>
        <v>ICE</v>
      </c>
      <c r="I60" t="str">
        <f ca="1">IF(rtd_data[[#This Row],[Product]]="","",IFERROR(INDEX(exch_map[TT_Symbol],MATCH(rtd_data[[#This Row],[Group]],exch_map[Group],0))&amp;"",""))</f>
        <v/>
      </c>
      <c r="J60" t="str">
        <f ca="1">IF(rtd_data[[#This Row],[Type]]="Future",PROPER(RIGHT(rtd_data[[#This Row],[Product]],5)),"")</f>
        <v/>
      </c>
    </row>
    <row r="61" spans="1:10" x14ac:dyDescent="0.25">
      <c r="A61" s="11" t="str" cm="1">
        <f t="array" aca="1" ref="A61" ca="1">IFERROR(INDEX(_xlfn.ANCHORARRAY(contracts!$A$6),ROW()-ROW(rtd_data[#Headers]),1),"")</f>
        <v>I Nov26 - ER3 Nov26 Inter-Product</v>
      </c>
      <c r="B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1" t="str">
        <f ca="1">IF(rtd_data[[#This Row],[Product]]="","",IF(LEN(TRIM(rtd_data[[#This Row],[Product]]))-LEN(SUBSTITUTE(TRIM(rtd_data[[#This Row],[Product]])," ",""))&gt;=2,"Spread","Future"))</f>
        <v>Spread</v>
      </c>
      <c r="D61" t="str">
        <f ca="1">IFERROR(INDEX(exch_map[Exch],MATCH(rtd_data[[#This Row],[Group]],exch_map[Group],0)),"")</f>
        <v>ICE_L</v>
      </c>
      <c r="E61" s="11" t="str" cm="1">
        <f t="array" aca="1" ref="E61" ca="1">IFERROR(INDEX(_xlfn.ANCHORARRAY(contracts!$A$6),ROW()-ROW(rtd_data[#Headers]),2),"")</f>
        <v>Y</v>
      </c>
      <c r="F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1" t="str">
        <f ca="1">IF(rtd_data[[#This Row],[Exch]]="","",IF(rtd_data[[#This Row],[Exch]]="ICE_L","ICE",rtd_data[[#This Row],[Exch]]))</f>
        <v>ICE</v>
      </c>
      <c r="I61" t="str">
        <f ca="1">IF(rtd_data[[#This Row],[Product]]="","",IFERROR(INDEX(exch_map[TT_Symbol],MATCH(rtd_data[[#This Row],[Group]],exch_map[Group],0))&amp;"",""))</f>
        <v/>
      </c>
      <c r="J61" t="str">
        <f ca="1">IF(rtd_data[[#This Row],[Type]]="Future",PROPER(RIGHT(rtd_data[[#This Row],[Product]],5)),"")</f>
        <v/>
      </c>
    </row>
    <row r="62" spans="1:10" x14ac:dyDescent="0.25">
      <c r="A62" s="11" t="str" cm="1">
        <f t="array" aca="1" ref="A62" ca="1">IFERROR(INDEX(_xlfn.ANCHORARRAY(contracts!$A$6),ROW()-ROW(rtd_data[#Headers]),1),"")</f>
        <v>I Dec26 - ER3 Dec26 Inter-Product</v>
      </c>
      <c r="B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2" t="str">
        <f ca="1">IF(rtd_data[[#This Row],[Product]]="","",IF(LEN(TRIM(rtd_data[[#This Row],[Product]]))-LEN(SUBSTITUTE(TRIM(rtd_data[[#This Row],[Product]])," ",""))&gt;=2,"Spread","Future"))</f>
        <v>Spread</v>
      </c>
      <c r="D62" t="str">
        <f ca="1">IFERROR(INDEX(exch_map[Exch],MATCH(rtd_data[[#This Row],[Group]],exch_map[Group],0)),"")</f>
        <v>ICE_L</v>
      </c>
      <c r="E62" s="11" t="str" cm="1">
        <f t="array" aca="1" ref="E62" ca="1">IFERROR(INDEX(_xlfn.ANCHORARRAY(contracts!$A$6),ROW()-ROW(rtd_data[#Headers]),2),"")</f>
        <v>Y</v>
      </c>
      <c r="F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2" t="str">
        <f ca="1">IF(rtd_data[[#This Row],[Exch]]="","",IF(rtd_data[[#This Row],[Exch]]="ICE_L","ICE",rtd_data[[#This Row],[Exch]]))</f>
        <v>ICE</v>
      </c>
      <c r="I62" t="str">
        <f ca="1">IF(rtd_data[[#This Row],[Product]]="","",IFERROR(INDEX(exch_map[TT_Symbol],MATCH(rtd_data[[#This Row],[Group]],exch_map[Group],0))&amp;"",""))</f>
        <v/>
      </c>
      <c r="J62" t="str">
        <f ca="1">IF(rtd_data[[#This Row],[Type]]="Future",PROPER(RIGHT(rtd_data[[#This Row],[Product]],5)),"")</f>
        <v/>
      </c>
    </row>
    <row r="63" spans="1:10" x14ac:dyDescent="0.25">
      <c r="A63" s="11" t="str" cm="1">
        <f t="array" aca="1" ref="A63" ca="1">IFERROR(INDEX(_xlfn.ANCHORARRAY(contracts!$A$6),ROW()-ROW(rtd_data[#Headers]),1),"")</f>
        <v>I Jan27 - ER3 Jan27 Inter-Product</v>
      </c>
      <c r="B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3" t="str">
        <f ca="1">IF(rtd_data[[#This Row],[Product]]="","",IF(LEN(TRIM(rtd_data[[#This Row],[Product]]))-LEN(SUBSTITUTE(TRIM(rtd_data[[#This Row],[Product]])," ",""))&gt;=2,"Spread","Future"))</f>
        <v>Spread</v>
      </c>
      <c r="D63" t="str">
        <f ca="1">IFERROR(INDEX(exch_map[Exch],MATCH(rtd_data[[#This Row],[Group]],exch_map[Group],0)),"")</f>
        <v>ICE_L</v>
      </c>
      <c r="E63" s="11" t="str" cm="1">
        <f t="array" aca="1" ref="E63" ca="1">IFERROR(INDEX(_xlfn.ANCHORARRAY(contracts!$A$6),ROW()-ROW(rtd_data[#Headers]),2),"")</f>
        <v>Y</v>
      </c>
      <c r="F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3" t="str">
        <f ca="1">IF(rtd_data[[#This Row],[Exch]]="","",IF(rtd_data[[#This Row],[Exch]]="ICE_L","ICE",rtd_data[[#This Row],[Exch]]))</f>
        <v>ICE</v>
      </c>
      <c r="I63" t="str">
        <f ca="1">IF(rtd_data[[#This Row],[Product]]="","",IFERROR(INDEX(exch_map[TT_Symbol],MATCH(rtd_data[[#This Row],[Group]],exch_map[Group],0))&amp;"",""))</f>
        <v/>
      </c>
      <c r="J63" t="str">
        <f ca="1">IF(rtd_data[[#This Row],[Type]]="Future",PROPER(RIGHT(rtd_data[[#This Row],[Product]],5)),"")</f>
        <v/>
      </c>
    </row>
    <row r="64" spans="1:10" x14ac:dyDescent="0.25">
      <c r="A64" s="11" t="str" cm="1">
        <f t="array" aca="1" ref="A64" ca="1">IFERROR(INDEX(_xlfn.ANCHORARRAY(contracts!$A$6),ROW()-ROW(rtd_data[#Headers]),1),"")</f>
        <v>I Feb27 - ER3 Feb27 Inter-Product</v>
      </c>
      <c r="B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4" t="str">
        <f ca="1">IF(rtd_data[[#This Row],[Product]]="","",IF(LEN(TRIM(rtd_data[[#This Row],[Product]]))-LEN(SUBSTITUTE(TRIM(rtd_data[[#This Row],[Product]])," ",""))&gt;=2,"Spread","Future"))</f>
        <v>Spread</v>
      </c>
      <c r="D64" t="str">
        <f ca="1">IFERROR(INDEX(exch_map[Exch],MATCH(rtd_data[[#This Row],[Group]],exch_map[Group],0)),"")</f>
        <v>ICE_L</v>
      </c>
      <c r="E64" s="11" t="str" cm="1">
        <f t="array" aca="1" ref="E64" ca="1">IFERROR(INDEX(_xlfn.ANCHORARRAY(contracts!$A$6),ROW()-ROW(rtd_data[#Headers]),2),"")</f>
        <v>Y</v>
      </c>
      <c r="F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4" t="str">
        <f ca="1">IF(rtd_data[[#This Row],[Exch]]="","",IF(rtd_data[[#This Row],[Exch]]="ICE_L","ICE",rtd_data[[#This Row],[Exch]]))</f>
        <v>ICE</v>
      </c>
      <c r="I64" t="str">
        <f ca="1">IF(rtd_data[[#This Row],[Product]]="","",IFERROR(INDEX(exch_map[TT_Symbol],MATCH(rtd_data[[#This Row],[Group]],exch_map[Group],0))&amp;"",""))</f>
        <v/>
      </c>
      <c r="J64" t="str">
        <f ca="1">IF(rtd_data[[#This Row],[Type]]="Future",PROPER(RIGHT(rtd_data[[#This Row],[Product]],5)),"")</f>
        <v/>
      </c>
    </row>
    <row r="65" spans="1:10" x14ac:dyDescent="0.25">
      <c r="A65" s="11" t="str" cm="1">
        <f t="array" aca="1" ref="A65" ca="1">IFERROR(INDEX(_xlfn.ANCHORARRAY(contracts!$A$6),ROW()-ROW(rtd_data[#Headers]),1),"")</f>
        <v>I Mar27 - ER3 Mar27 Inter-Product</v>
      </c>
      <c r="B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5" t="str">
        <f ca="1">IF(rtd_data[[#This Row],[Product]]="","",IF(LEN(TRIM(rtd_data[[#This Row],[Product]]))-LEN(SUBSTITUTE(TRIM(rtd_data[[#This Row],[Product]])," ",""))&gt;=2,"Spread","Future"))</f>
        <v>Spread</v>
      </c>
      <c r="D65" t="str">
        <f ca="1">IFERROR(INDEX(exch_map[Exch],MATCH(rtd_data[[#This Row],[Group]],exch_map[Group],0)),"")</f>
        <v>ICE_L</v>
      </c>
      <c r="E65" s="11" t="str" cm="1">
        <f t="array" aca="1" ref="E65" ca="1">IFERROR(INDEX(_xlfn.ANCHORARRAY(contracts!$A$6),ROW()-ROW(rtd_data[#Headers]),2),"")</f>
        <v>Y</v>
      </c>
      <c r="F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5" t="str">
        <f ca="1">IF(rtd_data[[#This Row],[Exch]]="","",IF(rtd_data[[#This Row],[Exch]]="ICE_L","ICE",rtd_data[[#This Row],[Exch]]))</f>
        <v>ICE</v>
      </c>
      <c r="I65" t="str">
        <f ca="1">IF(rtd_data[[#This Row],[Product]]="","",IFERROR(INDEX(exch_map[TT_Symbol],MATCH(rtd_data[[#This Row],[Group]],exch_map[Group],0))&amp;"",""))</f>
        <v/>
      </c>
      <c r="J65" t="str">
        <f ca="1">IF(rtd_data[[#This Row],[Type]]="Future",PROPER(RIGHT(rtd_data[[#This Row],[Product]],5)),"")</f>
        <v/>
      </c>
    </row>
    <row r="66" spans="1:10" x14ac:dyDescent="0.25">
      <c r="A66" s="11" t="str" cm="1">
        <f t="array" aca="1" ref="A66" ca="1">IFERROR(INDEX(_xlfn.ANCHORARRAY(contracts!$A$6),ROW()-ROW(rtd_data[#Headers]),1),"")</f>
        <v>I Jun27 - ER3 Jun27 Inter-Product</v>
      </c>
      <c r="B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6" t="str">
        <f ca="1">IF(rtd_data[[#This Row],[Product]]="","",IF(LEN(TRIM(rtd_data[[#This Row],[Product]]))-LEN(SUBSTITUTE(TRIM(rtd_data[[#This Row],[Product]])," ",""))&gt;=2,"Spread","Future"))</f>
        <v>Spread</v>
      </c>
      <c r="D66" t="str">
        <f ca="1">IFERROR(INDEX(exch_map[Exch],MATCH(rtd_data[[#This Row],[Group]],exch_map[Group],0)),"")</f>
        <v>ICE_L</v>
      </c>
      <c r="E66" s="11" t="str" cm="1">
        <f t="array" aca="1" ref="E66" ca="1">IFERROR(INDEX(_xlfn.ANCHORARRAY(contracts!$A$6),ROW()-ROW(rtd_data[#Headers]),2),"")</f>
        <v>Y</v>
      </c>
      <c r="F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6" t="str">
        <f ca="1">IF(rtd_data[[#This Row],[Exch]]="","",IF(rtd_data[[#This Row],[Exch]]="ICE_L","ICE",rtd_data[[#This Row],[Exch]]))</f>
        <v>ICE</v>
      </c>
      <c r="I66" t="str">
        <f ca="1">IF(rtd_data[[#This Row],[Product]]="","",IFERROR(INDEX(exch_map[TT_Symbol],MATCH(rtd_data[[#This Row],[Group]],exch_map[Group],0))&amp;"",""))</f>
        <v/>
      </c>
      <c r="J66" t="str">
        <f ca="1">IF(rtd_data[[#This Row],[Type]]="Future",PROPER(RIGHT(rtd_data[[#This Row],[Product]],5)),"")</f>
        <v/>
      </c>
    </row>
    <row r="67" spans="1:10" x14ac:dyDescent="0.25">
      <c r="A67" s="11" t="str" cm="1">
        <f t="array" aca="1" ref="A67" ca="1">IFERROR(INDEX(_xlfn.ANCHORARRAY(contracts!$A$6),ROW()-ROW(rtd_data[#Headers]),1),"")</f>
        <v>I Sep27 - ER3 Sep27 Inter-Product</v>
      </c>
      <c r="B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7" t="str">
        <f ca="1">IF(rtd_data[[#This Row],[Product]]="","",IF(LEN(TRIM(rtd_data[[#This Row],[Product]]))-LEN(SUBSTITUTE(TRIM(rtd_data[[#This Row],[Product]])," ",""))&gt;=2,"Spread","Future"))</f>
        <v>Spread</v>
      </c>
      <c r="D67" t="str">
        <f ca="1">IFERROR(INDEX(exch_map[Exch],MATCH(rtd_data[[#This Row],[Group]],exch_map[Group],0)),"")</f>
        <v>ICE_L</v>
      </c>
      <c r="E67" s="11" t="str" cm="1">
        <f t="array" aca="1" ref="E67" ca="1">IFERROR(INDEX(_xlfn.ANCHORARRAY(contracts!$A$6),ROW()-ROW(rtd_data[#Headers]),2),"")</f>
        <v>Y</v>
      </c>
      <c r="F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7" t="str">
        <f ca="1">IF(rtd_data[[#This Row],[Exch]]="","",IF(rtd_data[[#This Row],[Exch]]="ICE_L","ICE",rtd_data[[#This Row],[Exch]]))</f>
        <v>ICE</v>
      </c>
      <c r="I67" t="str">
        <f ca="1">IF(rtd_data[[#This Row],[Product]]="","",IFERROR(INDEX(exch_map[TT_Symbol],MATCH(rtd_data[[#This Row],[Group]],exch_map[Group],0))&amp;"",""))</f>
        <v/>
      </c>
      <c r="J67" t="str">
        <f ca="1">IF(rtd_data[[#This Row],[Type]]="Future",PROPER(RIGHT(rtd_data[[#This Row],[Product]],5)),"")</f>
        <v/>
      </c>
    </row>
    <row r="68" spans="1:10" x14ac:dyDescent="0.25">
      <c r="A68" s="11" t="str" cm="1">
        <f t="array" aca="1" ref="A68" ca="1">IFERROR(INDEX(_xlfn.ANCHORARRAY(contracts!$A$6),ROW()-ROW(rtd_data[#Headers]),1),"")</f>
        <v>I Dec27 - ER3 Dec27 Inter-Product</v>
      </c>
      <c r="B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8" t="str">
        <f ca="1">IF(rtd_data[[#This Row],[Product]]="","",IF(LEN(TRIM(rtd_data[[#This Row],[Product]]))-LEN(SUBSTITUTE(TRIM(rtd_data[[#This Row],[Product]])," ",""))&gt;=2,"Spread","Future"))</f>
        <v>Spread</v>
      </c>
      <c r="D68" t="str">
        <f ca="1">IFERROR(INDEX(exch_map[Exch],MATCH(rtd_data[[#This Row],[Group]],exch_map[Group],0)),"")</f>
        <v>ICE_L</v>
      </c>
      <c r="E68" s="11" t="str" cm="1">
        <f t="array" aca="1" ref="E68" ca="1">IFERROR(INDEX(_xlfn.ANCHORARRAY(contracts!$A$6),ROW()-ROW(rtd_data[#Headers]),2),"")</f>
        <v>Y</v>
      </c>
      <c r="F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8" t="str">
        <f ca="1">IF(rtd_data[[#This Row],[Exch]]="","",IF(rtd_data[[#This Row],[Exch]]="ICE_L","ICE",rtd_data[[#This Row],[Exch]]))</f>
        <v>ICE</v>
      </c>
      <c r="I68" t="str">
        <f ca="1">IF(rtd_data[[#This Row],[Product]]="","",IFERROR(INDEX(exch_map[TT_Symbol],MATCH(rtd_data[[#This Row],[Group]],exch_map[Group],0))&amp;"",""))</f>
        <v/>
      </c>
      <c r="J68" t="str">
        <f ca="1">IF(rtd_data[[#This Row],[Type]]="Future",PROPER(RIGHT(rtd_data[[#This Row],[Product]],5)),"")</f>
        <v/>
      </c>
    </row>
    <row r="69" spans="1:10" x14ac:dyDescent="0.25">
      <c r="A69" s="11" t="str" cm="1">
        <f t="array" aca="1" ref="A69" ca="1">IFERROR(INDEX(_xlfn.ANCHORARRAY(contracts!$A$6),ROW()-ROW(rtd_data[#Headers]),1),"")</f>
        <v>I Mar28 - ER3 Mar28 Inter-Product</v>
      </c>
      <c r="B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9" t="str">
        <f ca="1">IF(rtd_data[[#This Row],[Product]]="","",IF(LEN(TRIM(rtd_data[[#This Row],[Product]]))-LEN(SUBSTITUTE(TRIM(rtd_data[[#This Row],[Product]])," ",""))&gt;=2,"Spread","Future"))</f>
        <v>Spread</v>
      </c>
      <c r="D69" t="str">
        <f ca="1">IFERROR(INDEX(exch_map[Exch],MATCH(rtd_data[[#This Row],[Group]],exch_map[Group],0)),"")</f>
        <v>ICE_L</v>
      </c>
      <c r="E69" s="11" t="str" cm="1">
        <f t="array" aca="1" ref="E69" ca="1">IFERROR(INDEX(_xlfn.ANCHORARRAY(contracts!$A$6),ROW()-ROW(rtd_data[#Headers]),2),"")</f>
        <v>Y</v>
      </c>
      <c r="F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9" t="str">
        <f ca="1">IF(rtd_data[[#This Row],[Exch]]="","",IF(rtd_data[[#This Row],[Exch]]="ICE_L","ICE",rtd_data[[#This Row],[Exch]]))</f>
        <v>ICE</v>
      </c>
      <c r="I69" t="str">
        <f ca="1">IF(rtd_data[[#This Row],[Product]]="","",IFERROR(INDEX(exch_map[TT_Symbol],MATCH(rtd_data[[#This Row],[Group]],exch_map[Group],0))&amp;"",""))</f>
        <v/>
      </c>
      <c r="J69" t="str">
        <f ca="1">IF(rtd_data[[#This Row],[Type]]="Future",PROPER(RIGHT(rtd_data[[#This Row],[Product]],5)),"")</f>
        <v/>
      </c>
    </row>
    <row r="70" spans="1:10" x14ac:dyDescent="0.25">
      <c r="A70" s="11" t="str" cm="1">
        <f t="array" aca="1" ref="A70" ca="1">IFERROR(INDEX(_xlfn.ANCHORARRAY(contracts!$A$6),ROW()-ROW(rtd_data[#Headers]),1),"")</f>
        <v>I Jun28 - ER3 Jun28 Inter-Product</v>
      </c>
      <c r="B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0" t="str">
        <f ca="1">IF(rtd_data[[#This Row],[Product]]="","",IF(LEN(TRIM(rtd_data[[#This Row],[Product]]))-LEN(SUBSTITUTE(TRIM(rtd_data[[#This Row],[Product]])," ",""))&gt;=2,"Spread","Future"))</f>
        <v>Spread</v>
      </c>
      <c r="D70" t="str">
        <f ca="1">IFERROR(INDEX(exch_map[Exch],MATCH(rtd_data[[#This Row],[Group]],exch_map[Group],0)),"")</f>
        <v>ICE_L</v>
      </c>
      <c r="E70" s="11" t="str" cm="1">
        <f t="array" aca="1" ref="E70" ca="1">IFERROR(INDEX(_xlfn.ANCHORARRAY(contracts!$A$6),ROW()-ROW(rtd_data[#Headers]),2),"")</f>
        <v>Y</v>
      </c>
      <c r="F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0" t="str">
        <f ca="1">IF(rtd_data[[#This Row],[Exch]]="","",IF(rtd_data[[#This Row],[Exch]]="ICE_L","ICE",rtd_data[[#This Row],[Exch]]))</f>
        <v>ICE</v>
      </c>
      <c r="I70" t="str">
        <f ca="1">IF(rtd_data[[#This Row],[Product]]="","",IFERROR(INDEX(exch_map[TT_Symbol],MATCH(rtd_data[[#This Row],[Group]],exch_map[Group],0))&amp;"",""))</f>
        <v/>
      </c>
      <c r="J70" t="str">
        <f ca="1">IF(rtd_data[[#This Row],[Type]]="Future",PROPER(RIGHT(rtd_data[[#This Row],[Product]],5)),"")</f>
        <v/>
      </c>
    </row>
    <row r="71" spans="1:10" x14ac:dyDescent="0.25">
      <c r="A71" s="11" t="str" cm="1">
        <f t="array" aca="1" ref="A71" ca="1">IFERROR(INDEX(_xlfn.ANCHORARRAY(contracts!$A$6),ROW()-ROW(rtd_data[#Headers]),1),"")</f>
        <v>I Sep28 - ER3 Sep28 Inter-Product</v>
      </c>
      <c r="B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1" t="str">
        <f ca="1">IF(rtd_data[[#This Row],[Product]]="","",IF(LEN(TRIM(rtd_data[[#This Row],[Product]]))-LEN(SUBSTITUTE(TRIM(rtd_data[[#This Row],[Product]])," ",""))&gt;=2,"Spread","Future"))</f>
        <v>Spread</v>
      </c>
      <c r="D71" t="str">
        <f ca="1">IFERROR(INDEX(exch_map[Exch],MATCH(rtd_data[[#This Row],[Group]],exch_map[Group],0)),"")</f>
        <v>ICE_L</v>
      </c>
      <c r="E71" s="11" t="str" cm="1">
        <f t="array" aca="1" ref="E71" ca="1">IFERROR(INDEX(_xlfn.ANCHORARRAY(contracts!$A$6),ROW()-ROW(rtd_data[#Headers]),2),"")</f>
        <v>Y</v>
      </c>
      <c r="F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1" t="str">
        <f ca="1">IF(rtd_data[[#This Row],[Exch]]="","",IF(rtd_data[[#This Row],[Exch]]="ICE_L","ICE",rtd_data[[#This Row],[Exch]]))</f>
        <v>ICE</v>
      </c>
      <c r="I71" t="str">
        <f ca="1">IF(rtd_data[[#This Row],[Product]]="","",IFERROR(INDEX(exch_map[TT_Symbol],MATCH(rtd_data[[#This Row],[Group]],exch_map[Group],0))&amp;"",""))</f>
        <v/>
      </c>
      <c r="J71" t="str">
        <f ca="1">IF(rtd_data[[#This Row],[Type]]="Future",PROPER(RIGHT(rtd_data[[#This Row],[Product]],5)),"")</f>
        <v/>
      </c>
    </row>
    <row r="72" spans="1:10" x14ac:dyDescent="0.25">
      <c r="A72" s="11" t="str" cm="1">
        <f t="array" aca="1" ref="A72" ca="1">IFERROR(INDEX(_xlfn.ANCHORARRAY(contracts!$A$6),ROW()-ROW(rtd_data[#Headers]),1),"")</f>
        <v>I Dec28 - ER3 Dec28 Inter-Product</v>
      </c>
      <c r="B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2" t="str">
        <f ca="1">IF(rtd_data[[#This Row],[Product]]="","",IF(LEN(TRIM(rtd_data[[#This Row],[Product]]))-LEN(SUBSTITUTE(TRIM(rtd_data[[#This Row],[Product]])," ",""))&gt;=2,"Spread","Future"))</f>
        <v>Spread</v>
      </c>
      <c r="D72" t="str">
        <f ca="1">IFERROR(INDEX(exch_map[Exch],MATCH(rtd_data[[#This Row],[Group]],exch_map[Group],0)),"")</f>
        <v>ICE_L</v>
      </c>
      <c r="E72" s="11" t="str" cm="1">
        <f t="array" aca="1" ref="E72" ca="1">IFERROR(INDEX(_xlfn.ANCHORARRAY(contracts!$A$6),ROW()-ROW(rtd_data[#Headers]),2),"")</f>
        <v>Y</v>
      </c>
      <c r="F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2" t="str">
        <f ca="1">IF(rtd_data[[#This Row],[Exch]]="","",IF(rtd_data[[#This Row],[Exch]]="ICE_L","ICE",rtd_data[[#This Row],[Exch]]))</f>
        <v>ICE</v>
      </c>
      <c r="I72" t="str">
        <f ca="1">IF(rtd_data[[#This Row],[Product]]="","",IFERROR(INDEX(exch_map[TT_Symbol],MATCH(rtd_data[[#This Row],[Group]],exch_map[Group],0))&amp;"",""))</f>
        <v/>
      </c>
      <c r="J72" t="str">
        <f ca="1">IF(rtd_data[[#This Row],[Type]]="Future",PROPER(RIGHT(rtd_data[[#This Row],[Product]],5)),"")</f>
        <v/>
      </c>
    </row>
    <row r="73" spans="1:10" x14ac:dyDescent="0.25">
      <c r="A73" s="11" t="str" cm="1">
        <f t="array" aca="1" ref="A73" ca="1">IFERROR(INDEX(_xlfn.ANCHORARRAY(contracts!$A$6),ROW()-ROW(rtd_data[#Headers]),1),"")</f>
        <v>I Mar29 - ER3 Mar29 Inter-Product</v>
      </c>
      <c r="B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3" t="str">
        <f ca="1">IF(rtd_data[[#This Row],[Product]]="","",IF(LEN(TRIM(rtd_data[[#This Row],[Product]]))-LEN(SUBSTITUTE(TRIM(rtd_data[[#This Row],[Product]])," ",""))&gt;=2,"Spread","Future"))</f>
        <v>Spread</v>
      </c>
      <c r="D73" t="str">
        <f ca="1">IFERROR(INDEX(exch_map[Exch],MATCH(rtd_data[[#This Row],[Group]],exch_map[Group],0)),"")</f>
        <v>ICE_L</v>
      </c>
      <c r="E73" s="11" t="str" cm="1">
        <f t="array" aca="1" ref="E73" ca="1">IFERROR(INDEX(_xlfn.ANCHORARRAY(contracts!$A$6),ROW()-ROW(rtd_data[#Headers]),2),"")</f>
        <v>Y</v>
      </c>
      <c r="F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3" t="str">
        <f ca="1">IF(rtd_data[[#This Row],[Exch]]="","",IF(rtd_data[[#This Row],[Exch]]="ICE_L","ICE",rtd_data[[#This Row],[Exch]]))</f>
        <v>ICE</v>
      </c>
      <c r="I73" t="str">
        <f ca="1">IF(rtd_data[[#This Row],[Product]]="","",IFERROR(INDEX(exch_map[TT_Symbol],MATCH(rtd_data[[#This Row],[Group]],exch_map[Group],0))&amp;"",""))</f>
        <v/>
      </c>
      <c r="J73" t="str">
        <f ca="1">IF(rtd_data[[#This Row],[Type]]="Future",PROPER(RIGHT(rtd_data[[#This Row],[Product]],5)),"")</f>
        <v/>
      </c>
    </row>
    <row r="74" spans="1:10" x14ac:dyDescent="0.25">
      <c r="A74" s="11" t="str" cm="1">
        <f t="array" aca="1" ref="A74" ca="1">IFERROR(INDEX(_xlfn.ANCHORARRAY(contracts!$A$6),ROW()-ROW(rtd_data[#Headers]),1),"")</f>
        <v>I Jun29 - ER3 Jun29 Inter-Product</v>
      </c>
      <c r="B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4" t="str">
        <f ca="1">IF(rtd_data[[#This Row],[Product]]="","",IF(LEN(TRIM(rtd_data[[#This Row],[Product]]))-LEN(SUBSTITUTE(TRIM(rtd_data[[#This Row],[Product]])," ",""))&gt;=2,"Spread","Future"))</f>
        <v>Spread</v>
      </c>
      <c r="D74" t="str">
        <f ca="1">IFERROR(INDEX(exch_map[Exch],MATCH(rtd_data[[#This Row],[Group]],exch_map[Group],0)),"")</f>
        <v>ICE_L</v>
      </c>
      <c r="E74" s="11" t="str" cm="1">
        <f t="array" aca="1" ref="E74" ca="1">IFERROR(INDEX(_xlfn.ANCHORARRAY(contracts!$A$6),ROW()-ROW(rtd_data[#Headers]),2),"")</f>
        <v>Y</v>
      </c>
      <c r="F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4" t="str">
        <f ca="1">IF(rtd_data[[#This Row],[Exch]]="","",IF(rtd_data[[#This Row],[Exch]]="ICE_L","ICE",rtd_data[[#This Row],[Exch]]))</f>
        <v>ICE</v>
      </c>
      <c r="I74" t="str">
        <f ca="1">IF(rtd_data[[#This Row],[Product]]="","",IFERROR(INDEX(exch_map[TT_Symbol],MATCH(rtd_data[[#This Row],[Group]],exch_map[Group],0))&amp;"",""))</f>
        <v/>
      </c>
      <c r="J74" t="str">
        <f ca="1">IF(rtd_data[[#This Row],[Type]]="Future",PROPER(RIGHT(rtd_data[[#This Row],[Product]],5)),"")</f>
        <v/>
      </c>
    </row>
    <row r="75" spans="1:10" x14ac:dyDescent="0.25">
      <c r="A75" s="11" t="str" cm="1">
        <f t="array" aca="1" ref="A75" ca="1">IFERROR(INDEX(_xlfn.ANCHORARRAY(contracts!$A$6),ROW()-ROW(rtd_data[#Headers]),1),"")</f>
        <v>I Sep29 - ER3 Sep29 Inter-Product</v>
      </c>
      <c r="B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5" t="str">
        <f ca="1">IF(rtd_data[[#This Row],[Product]]="","",IF(LEN(TRIM(rtd_data[[#This Row],[Product]]))-LEN(SUBSTITUTE(TRIM(rtd_data[[#This Row],[Product]])," ",""))&gt;=2,"Spread","Future"))</f>
        <v>Spread</v>
      </c>
      <c r="D75" t="str">
        <f ca="1">IFERROR(INDEX(exch_map[Exch],MATCH(rtd_data[[#This Row],[Group]],exch_map[Group],0)),"")</f>
        <v>ICE_L</v>
      </c>
      <c r="E75" s="11" t="str" cm="1">
        <f t="array" aca="1" ref="E75" ca="1">IFERROR(INDEX(_xlfn.ANCHORARRAY(contracts!$A$6),ROW()-ROW(rtd_data[#Headers]),2),"")</f>
        <v>Y</v>
      </c>
      <c r="F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5" t="str">
        <f ca="1">IF(rtd_data[[#This Row],[Exch]]="","",IF(rtd_data[[#This Row],[Exch]]="ICE_L","ICE",rtd_data[[#This Row],[Exch]]))</f>
        <v>ICE</v>
      </c>
      <c r="I75" t="str">
        <f ca="1">IF(rtd_data[[#This Row],[Product]]="","",IFERROR(INDEX(exch_map[TT_Symbol],MATCH(rtd_data[[#This Row],[Group]],exch_map[Group],0))&amp;"",""))</f>
        <v/>
      </c>
      <c r="J75" t="str">
        <f ca="1">IF(rtd_data[[#This Row],[Type]]="Future",PROPER(RIGHT(rtd_data[[#This Row],[Product]],5)),"")</f>
        <v/>
      </c>
    </row>
    <row r="76" spans="1:10" x14ac:dyDescent="0.25">
      <c r="A76" s="11" t="str" cm="1">
        <f t="array" aca="1" ref="A76" ca="1">IFERROR(INDEX(_xlfn.ANCHORARRAY(contracts!$A$6),ROW()-ROW(rtd_data[#Headers]),1),"")</f>
        <v>I Dec29 - ER3 Dec29 Inter-Product</v>
      </c>
      <c r="B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6" t="str">
        <f ca="1">IF(rtd_data[[#This Row],[Product]]="","",IF(LEN(TRIM(rtd_data[[#This Row],[Product]]))-LEN(SUBSTITUTE(TRIM(rtd_data[[#This Row],[Product]])," ",""))&gt;=2,"Spread","Future"))</f>
        <v>Spread</v>
      </c>
      <c r="D76" t="str">
        <f ca="1">IFERROR(INDEX(exch_map[Exch],MATCH(rtd_data[[#This Row],[Group]],exch_map[Group],0)),"")</f>
        <v>ICE_L</v>
      </c>
      <c r="E76" s="11" t="str" cm="1">
        <f t="array" aca="1" ref="E76" ca="1">IFERROR(INDEX(_xlfn.ANCHORARRAY(contracts!$A$6),ROW()-ROW(rtd_data[#Headers]),2),"")</f>
        <v>Y</v>
      </c>
      <c r="F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6" t="str">
        <f ca="1">IF(rtd_data[[#This Row],[Exch]]="","",IF(rtd_data[[#This Row],[Exch]]="ICE_L","ICE",rtd_data[[#This Row],[Exch]]))</f>
        <v>ICE</v>
      </c>
      <c r="I76" t="str">
        <f ca="1">IF(rtd_data[[#This Row],[Product]]="","",IFERROR(INDEX(exch_map[TT_Symbol],MATCH(rtd_data[[#This Row],[Group]],exch_map[Group],0))&amp;"",""))</f>
        <v/>
      </c>
      <c r="J76" t="str">
        <f ca="1">IF(rtd_data[[#This Row],[Type]]="Future",PROPER(RIGHT(rtd_data[[#This Row],[Product]],5)),"")</f>
        <v/>
      </c>
    </row>
    <row r="77" spans="1:10" x14ac:dyDescent="0.25">
      <c r="A77" s="11" t="str" cm="1">
        <f t="array" aca="1" ref="A77" ca="1">IFERROR(INDEX(_xlfn.ANCHORARRAY(contracts!$A$6),ROW()-ROW(rtd_data[#Headers]),1),"")</f>
        <v>I Mar30 - ER3 Mar30 Inter-Product</v>
      </c>
      <c r="B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7" t="str">
        <f ca="1">IF(rtd_data[[#This Row],[Product]]="","",IF(LEN(TRIM(rtd_data[[#This Row],[Product]]))-LEN(SUBSTITUTE(TRIM(rtd_data[[#This Row],[Product]])," ",""))&gt;=2,"Spread","Future"))</f>
        <v>Spread</v>
      </c>
      <c r="D77" t="str">
        <f ca="1">IFERROR(INDEX(exch_map[Exch],MATCH(rtd_data[[#This Row],[Group]],exch_map[Group],0)),"")</f>
        <v>ICE_L</v>
      </c>
      <c r="E77" s="11" t="str" cm="1">
        <f t="array" aca="1" ref="E77" ca="1">IFERROR(INDEX(_xlfn.ANCHORARRAY(contracts!$A$6),ROW()-ROW(rtd_data[#Headers]),2),"")</f>
        <v>Y</v>
      </c>
      <c r="F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7" t="str">
        <f ca="1">IF(rtd_data[[#This Row],[Exch]]="","",IF(rtd_data[[#This Row],[Exch]]="ICE_L","ICE",rtd_data[[#This Row],[Exch]]))</f>
        <v>ICE</v>
      </c>
      <c r="I77" t="str">
        <f ca="1">IF(rtd_data[[#This Row],[Product]]="","",IFERROR(INDEX(exch_map[TT_Symbol],MATCH(rtd_data[[#This Row],[Group]],exch_map[Group],0))&amp;"",""))</f>
        <v/>
      </c>
      <c r="J77" t="str">
        <f ca="1">IF(rtd_data[[#This Row],[Type]]="Future",PROPER(RIGHT(rtd_data[[#This Row],[Product]],5)),"")</f>
        <v/>
      </c>
    </row>
    <row r="78" spans="1:10" x14ac:dyDescent="0.25">
      <c r="A78" s="11" t="str" cm="1">
        <f t="array" aca="1" ref="A78" ca="1">IFERROR(INDEX(_xlfn.ANCHORARRAY(contracts!$A$6),ROW()-ROW(rtd_data[#Headers]),1),"")</f>
        <v>I Jun30 - ER3 Jun30 Inter-Product</v>
      </c>
      <c r="B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8" t="str">
        <f ca="1">IF(rtd_data[[#This Row],[Product]]="","",IF(LEN(TRIM(rtd_data[[#This Row],[Product]]))-LEN(SUBSTITUTE(TRIM(rtd_data[[#This Row],[Product]])," ",""))&gt;=2,"Spread","Future"))</f>
        <v>Spread</v>
      </c>
      <c r="D78" t="str">
        <f ca="1">IFERROR(INDEX(exch_map[Exch],MATCH(rtd_data[[#This Row],[Group]],exch_map[Group],0)),"")</f>
        <v>ICE_L</v>
      </c>
      <c r="E78" s="11" t="str" cm="1">
        <f t="array" aca="1" ref="E78" ca="1">IFERROR(INDEX(_xlfn.ANCHORARRAY(contracts!$A$6),ROW()-ROW(rtd_data[#Headers]),2),"")</f>
        <v>Y</v>
      </c>
      <c r="F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8" t="str">
        <f ca="1">IF(rtd_data[[#This Row],[Exch]]="","",IF(rtd_data[[#This Row],[Exch]]="ICE_L","ICE",rtd_data[[#This Row],[Exch]]))</f>
        <v>ICE</v>
      </c>
      <c r="I78" t="str">
        <f ca="1">IF(rtd_data[[#This Row],[Product]]="","",IFERROR(INDEX(exch_map[TT_Symbol],MATCH(rtd_data[[#This Row],[Group]],exch_map[Group],0))&amp;"",""))</f>
        <v/>
      </c>
      <c r="J78" t="str">
        <f ca="1">IF(rtd_data[[#This Row],[Type]]="Future",PROPER(RIGHT(rtd_data[[#This Row],[Product]],5)),"")</f>
        <v/>
      </c>
    </row>
    <row r="79" spans="1:10" x14ac:dyDescent="0.25">
      <c r="A79" s="11" t="str" cm="1">
        <f t="array" aca="1" ref="A79" ca="1">IFERROR(INDEX(_xlfn.ANCHORARRAY(contracts!$A$6),ROW()-ROW(rtd_data[#Headers]),1),"")</f>
        <v>I Sep30 - ER3 Sep30 Inter-Product</v>
      </c>
      <c r="B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9" t="str">
        <f ca="1">IF(rtd_data[[#This Row],[Product]]="","",IF(LEN(TRIM(rtd_data[[#This Row],[Product]]))-LEN(SUBSTITUTE(TRIM(rtd_data[[#This Row],[Product]])," ",""))&gt;=2,"Spread","Future"))</f>
        <v>Spread</v>
      </c>
      <c r="D79" t="str">
        <f ca="1">IFERROR(INDEX(exch_map[Exch],MATCH(rtd_data[[#This Row],[Group]],exch_map[Group],0)),"")</f>
        <v>ICE_L</v>
      </c>
      <c r="E79" s="11" t="str" cm="1">
        <f t="array" aca="1" ref="E79" ca="1">IFERROR(INDEX(_xlfn.ANCHORARRAY(contracts!$A$6),ROW()-ROW(rtd_data[#Headers]),2),"")</f>
        <v>Y</v>
      </c>
      <c r="F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9" t="str">
        <f ca="1">IF(rtd_data[[#This Row],[Exch]]="","",IF(rtd_data[[#This Row],[Exch]]="ICE_L","ICE",rtd_data[[#This Row],[Exch]]))</f>
        <v>ICE</v>
      </c>
      <c r="I79" t="str">
        <f ca="1">IF(rtd_data[[#This Row],[Product]]="","",IFERROR(INDEX(exch_map[TT_Symbol],MATCH(rtd_data[[#This Row],[Group]],exch_map[Group],0))&amp;"",""))</f>
        <v/>
      </c>
      <c r="J79" t="str">
        <f ca="1">IF(rtd_data[[#This Row],[Type]]="Future",PROPER(RIGHT(rtd_data[[#This Row],[Product]],5)),"")</f>
        <v/>
      </c>
    </row>
    <row r="80" spans="1:10" x14ac:dyDescent="0.25">
      <c r="A80" s="11" t="str" cm="1">
        <f t="array" aca="1" ref="A80" ca="1">IFERROR(INDEX(_xlfn.ANCHORARRAY(contracts!$A$6),ROW()-ROW(rtd_data[#Headers]),1),"")</f>
        <v>I Dec30 - ER3 Dec30 Inter-Product</v>
      </c>
      <c r="B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0" t="str">
        <f ca="1">IF(rtd_data[[#This Row],[Product]]="","",IF(LEN(TRIM(rtd_data[[#This Row],[Product]]))-LEN(SUBSTITUTE(TRIM(rtd_data[[#This Row],[Product]])," ",""))&gt;=2,"Spread","Future"))</f>
        <v>Spread</v>
      </c>
      <c r="D80" t="str">
        <f ca="1">IFERROR(INDEX(exch_map[Exch],MATCH(rtd_data[[#This Row],[Group]],exch_map[Group],0)),"")</f>
        <v>ICE_L</v>
      </c>
      <c r="E80" s="11" t="str" cm="1">
        <f t="array" aca="1" ref="E80" ca="1">IFERROR(INDEX(_xlfn.ANCHORARRAY(contracts!$A$6),ROW()-ROW(rtd_data[#Headers]),2),"")</f>
        <v>Y</v>
      </c>
      <c r="F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0" t="str">
        <f ca="1">IF(rtd_data[[#This Row],[Exch]]="","",IF(rtd_data[[#This Row],[Exch]]="ICE_L","ICE",rtd_data[[#This Row],[Exch]]))</f>
        <v>ICE</v>
      </c>
      <c r="I80" t="str">
        <f ca="1">IF(rtd_data[[#This Row],[Product]]="","",IFERROR(INDEX(exch_map[TT_Symbol],MATCH(rtd_data[[#This Row],[Group]],exch_map[Group],0))&amp;"",""))</f>
        <v/>
      </c>
      <c r="J80" t="str">
        <f ca="1">IF(rtd_data[[#This Row],[Type]]="Future",PROPER(RIGHT(rtd_data[[#This Row],[Product]],5)),"")</f>
        <v/>
      </c>
    </row>
    <row r="81" spans="1:10" x14ac:dyDescent="0.25">
      <c r="A81" s="11" t="str" cm="1">
        <f t="array" aca="1" ref="A81" ca="1">IFERROR(INDEX(_xlfn.ANCHORARRAY(contracts!$A$6),ROW()-ROW(rtd_data[#Headers]),1),"")</f>
        <v>I Mar31 - ER3 Mar31 Inter-Product</v>
      </c>
      <c r="B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1" t="str">
        <f ca="1">IF(rtd_data[[#This Row],[Product]]="","",IF(LEN(TRIM(rtd_data[[#This Row],[Product]]))-LEN(SUBSTITUTE(TRIM(rtd_data[[#This Row],[Product]])," ",""))&gt;=2,"Spread","Future"))</f>
        <v>Spread</v>
      </c>
      <c r="D81" t="str">
        <f ca="1">IFERROR(INDEX(exch_map[Exch],MATCH(rtd_data[[#This Row],[Group]],exch_map[Group],0)),"")</f>
        <v>ICE_L</v>
      </c>
      <c r="E81" s="11" t="str" cm="1">
        <f t="array" aca="1" ref="E81" ca="1">IFERROR(INDEX(_xlfn.ANCHORARRAY(contracts!$A$6),ROW()-ROW(rtd_data[#Headers]),2),"")</f>
        <v>Y</v>
      </c>
      <c r="F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1" t="str">
        <f ca="1">IF(rtd_data[[#This Row],[Exch]]="","",IF(rtd_data[[#This Row],[Exch]]="ICE_L","ICE",rtd_data[[#This Row],[Exch]]))</f>
        <v>ICE</v>
      </c>
      <c r="I81" t="str">
        <f ca="1">IF(rtd_data[[#This Row],[Product]]="","",IFERROR(INDEX(exch_map[TT_Symbol],MATCH(rtd_data[[#This Row],[Group]],exch_map[Group],0))&amp;"",""))</f>
        <v/>
      </c>
      <c r="J81" t="str">
        <f ca="1">IF(rtd_data[[#This Row],[Type]]="Future",PROPER(RIGHT(rtd_data[[#This Row],[Product]],5)),"")</f>
        <v/>
      </c>
    </row>
    <row r="82" spans="1:10" x14ac:dyDescent="0.25">
      <c r="A82" s="11" t="str" cm="1">
        <f t="array" aca="1" ref="A82" ca="1">IFERROR(INDEX(_xlfn.ANCHORARRAY(contracts!$A$6),ROW()-ROW(rtd_data[#Headers]),1),"")</f>
        <v>I Jun31 - ER3 Jun31 Inter-Product</v>
      </c>
      <c r="B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2" t="str">
        <f ca="1">IF(rtd_data[[#This Row],[Product]]="","",IF(LEN(TRIM(rtd_data[[#This Row],[Product]]))-LEN(SUBSTITUTE(TRIM(rtd_data[[#This Row],[Product]])," ",""))&gt;=2,"Spread","Future"))</f>
        <v>Spread</v>
      </c>
      <c r="D82" t="str">
        <f ca="1">IFERROR(INDEX(exch_map[Exch],MATCH(rtd_data[[#This Row],[Group]],exch_map[Group],0)),"")</f>
        <v>ICE_L</v>
      </c>
      <c r="E82" s="11" t="str" cm="1">
        <f t="array" aca="1" ref="E82" ca="1">IFERROR(INDEX(_xlfn.ANCHORARRAY(contracts!$A$6),ROW()-ROW(rtd_data[#Headers]),2),"")</f>
        <v>Y</v>
      </c>
      <c r="F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2" t="str">
        <f ca="1">IF(rtd_data[[#This Row],[Exch]]="","",IF(rtd_data[[#This Row],[Exch]]="ICE_L","ICE",rtd_data[[#This Row],[Exch]]))</f>
        <v>ICE</v>
      </c>
      <c r="I82" t="str">
        <f ca="1">IF(rtd_data[[#This Row],[Product]]="","",IFERROR(INDEX(exch_map[TT_Symbol],MATCH(rtd_data[[#This Row],[Group]],exch_map[Group],0))&amp;"",""))</f>
        <v/>
      </c>
      <c r="J82" t="str">
        <f ca="1">IF(rtd_data[[#This Row],[Type]]="Future",PROPER(RIGHT(rtd_data[[#This Row],[Product]],5)),"")</f>
        <v/>
      </c>
    </row>
    <row r="83" spans="1:10" x14ac:dyDescent="0.25">
      <c r="A83" s="11" t="str" cm="1">
        <f t="array" aca="1" ref="A83" ca="1">IFERROR(INDEX(_xlfn.ANCHORARRAY(contracts!$A$6),ROW()-ROW(rtd_data[#Headers]),1),"")</f>
        <v>I Sep31 - ER3 Sep31 Inter-Product</v>
      </c>
      <c r="B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3" t="str">
        <f ca="1">IF(rtd_data[[#This Row],[Product]]="","",IF(LEN(TRIM(rtd_data[[#This Row],[Product]]))-LEN(SUBSTITUTE(TRIM(rtd_data[[#This Row],[Product]])," ",""))&gt;=2,"Spread","Future"))</f>
        <v>Spread</v>
      </c>
      <c r="D83" t="str">
        <f ca="1">IFERROR(INDEX(exch_map[Exch],MATCH(rtd_data[[#This Row],[Group]],exch_map[Group],0)),"")</f>
        <v>ICE_L</v>
      </c>
      <c r="E83" s="11" t="str" cm="1">
        <f t="array" aca="1" ref="E83" ca="1">IFERROR(INDEX(_xlfn.ANCHORARRAY(contracts!$A$6),ROW()-ROW(rtd_data[#Headers]),2),"")</f>
        <v>Y</v>
      </c>
      <c r="F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3" t="str">
        <f ca="1">IF(rtd_data[[#This Row],[Exch]]="","",IF(rtd_data[[#This Row],[Exch]]="ICE_L","ICE",rtd_data[[#This Row],[Exch]]))</f>
        <v>ICE</v>
      </c>
      <c r="I83" t="str">
        <f ca="1">IF(rtd_data[[#This Row],[Product]]="","",IFERROR(INDEX(exch_map[TT_Symbol],MATCH(rtd_data[[#This Row],[Group]],exch_map[Group],0))&amp;"",""))</f>
        <v/>
      </c>
      <c r="J83" t="str">
        <f ca="1">IF(rtd_data[[#This Row],[Type]]="Future",PROPER(RIGHT(rtd_data[[#This Row],[Product]],5)),"")</f>
        <v/>
      </c>
    </row>
    <row r="84" spans="1:10" x14ac:dyDescent="0.25">
      <c r="A84" s="11" t="str" cm="1">
        <f t="array" aca="1" ref="A84" ca="1">IFERROR(INDEX(_xlfn.ANCHORARRAY(contracts!$A$6),ROW()-ROW(rtd_data[#Headers]),1),"")</f>
        <v>I Dec31 - ER3 Dec31 Inter-Product</v>
      </c>
      <c r="B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4" t="str">
        <f ca="1">IF(rtd_data[[#This Row],[Product]]="","",IF(LEN(TRIM(rtd_data[[#This Row],[Product]]))-LEN(SUBSTITUTE(TRIM(rtd_data[[#This Row],[Product]])," ",""))&gt;=2,"Spread","Future"))</f>
        <v>Spread</v>
      </c>
      <c r="D84" t="str">
        <f ca="1">IFERROR(INDEX(exch_map[Exch],MATCH(rtd_data[[#This Row],[Group]],exch_map[Group],0)),"")</f>
        <v>ICE_L</v>
      </c>
      <c r="E84" s="11" t="str" cm="1">
        <f t="array" aca="1" ref="E84" ca="1">IFERROR(INDEX(_xlfn.ANCHORARRAY(contracts!$A$6),ROW()-ROW(rtd_data[#Headers]),2),"")</f>
        <v>Y</v>
      </c>
      <c r="F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4" t="str">
        <f ca="1">IF(rtd_data[[#This Row],[Exch]]="","",IF(rtd_data[[#This Row],[Exch]]="ICE_L","ICE",rtd_data[[#This Row],[Exch]]))</f>
        <v>ICE</v>
      </c>
      <c r="I84" t="str">
        <f ca="1">IF(rtd_data[[#This Row],[Product]]="","",IFERROR(INDEX(exch_map[TT_Symbol],MATCH(rtd_data[[#This Row],[Group]],exch_map[Group],0))&amp;"",""))</f>
        <v/>
      </c>
      <c r="J84" t="str">
        <f ca="1">IF(rtd_data[[#This Row],[Type]]="Future",PROPER(RIGHT(rtd_data[[#This Row],[Product]],5)),"")</f>
        <v/>
      </c>
    </row>
    <row r="85" spans="1:10" x14ac:dyDescent="0.25">
      <c r="A85" s="11" t="str" cm="1">
        <f t="array" aca="1" ref="A85" ca="1">IFERROR(INDEX(_xlfn.ANCHORARRAY(contracts!$A$6),ROW()-ROW(rtd_data[#Headers]),1),"")</f>
        <v>I Mar32 - ER3 Mar32 Inter-Product</v>
      </c>
      <c r="B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5" t="str">
        <f ca="1">IF(rtd_data[[#This Row],[Product]]="","",IF(LEN(TRIM(rtd_data[[#This Row],[Product]]))-LEN(SUBSTITUTE(TRIM(rtd_data[[#This Row],[Product]])," ",""))&gt;=2,"Spread","Future"))</f>
        <v>Spread</v>
      </c>
      <c r="D85" t="str">
        <f ca="1">IFERROR(INDEX(exch_map[Exch],MATCH(rtd_data[[#This Row],[Group]],exch_map[Group],0)),"")</f>
        <v>ICE_L</v>
      </c>
      <c r="E85" s="11" t="str" cm="1">
        <f t="array" aca="1" ref="E85" ca="1">IFERROR(INDEX(_xlfn.ANCHORARRAY(contracts!$A$6),ROW()-ROW(rtd_data[#Headers]),2),"")</f>
        <v>Y</v>
      </c>
      <c r="F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5" t="str">
        <f ca="1">IF(rtd_data[[#This Row],[Exch]]="","",IF(rtd_data[[#This Row],[Exch]]="ICE_L","ICE",rtd_data[[#This Row],[Exch]]))</f>
        <v>ICE</v>
      </c>
      <c r="I85" t="str">
        <f ca="1">IF(rtd_data[[#This Row],[Product]]="","",IFERROR(INDEX(exch_map[TT_Symbol],MATCH(rtd_data[[#This Row],[Group]],exch_map[Group],0))&amp;"",""))</f>
        <v/>
      </c>
      <c r="J85" t="str">
        <f ca="1">IF(rtd_data[[#This Row],[Type]]="Future",PROPER(RIGHT(rtd_data[[#This Row],[Product]],5)),"")</f>
        <v/>
      </c>
    </row>
    <row r="86" spans="1:10" x14ac:dyDescent="0.25">
      <c r="A86" s="11" t="str" cm="1">
        <f t="array" aca="1" ref="A86" ca="1">IFERROR(INDEX(_xlfn.ANCHORARRAY(contracts!$A$6),ROW()-ROW(rtd_data[#Headers]),1),"")</f>
        <v>I Jun32 - ER3 Jun32 Inter-Product</v>
      </c>
      <c r="B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6" t="str">
        <f ca="1">IF(rtd_data[[#This Row],[Product]]="","",IF(LEN(TRIM(rtd_data[[#This Row],[Product]]))-LEN(SUBSTITUTE(TRIM(rtd_data[[#This Row],[Product]])," ",""))&gt;=2,"Spread","Future"))</f>
        <v>Spread</v>
      </c>
      <c r="D86" t="str">
        <f ca="1">IFERROR(INDEX(exch_map[Exch],MATCH(rtd_data[[#This Row],[Group]],exch_map[Group],0)),"")</f>
        <v>ICE_L</v>
      </c>
      <c r="E86" s="11" t="str" cm="1">
        <f t="array" aca="1" ref="E86" ca="1">IFERROR(INDEX(_xlfn.ANCHORARRAY(contracts!$A$6),ROW()-ROW(rtd_data[#Headers]),2),"")</f>
        <v>Y</v>
      </c>
      <c r="F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6" t="str">
        <f ca="1">IF(rtd_data[[#This Row],[Exch]]="","",IF(rtd_data[[#This Row],[Exch]]="ICE_L","ICE",rtd_data[[#This Row],[Exch]]))</f>
        <v>ICE</v>
      </c>
      <c r="I86" t="str">
        <f ca="1">IF(rtd_data[[#This Row],[Product]]="","",IFERROR(INDEX(exch_map[TT_Symbol],MATCH(rtd_data[[#This Row],[Group]],exch_map[Group],0))&amp;"",""))</f>
        <v/>
      </c>
      <c r="J86" t="str">
        <f ca="1">IF(rtd_data[[#This Row],[Type]]="Future",PROPER(RIGHT(rtd_data[[#This Row],[Product]],5)),"")</f>
        <v/>
      </c>
    </row>
    <row r="87" spans="1:10" x14ac:dyDescent="0.25">
      <c r="A87" s="11" t="str" cm="1">
        <f t="array" aca="1" ref="A87" ca="1">IFERROR(INDEX(_xlfn.ANCHORARRAY(contracts!$A$6),ROW()-ROW(rtd_data[#Headers]),1),"")</f>
        <v>I Sep32 - ER3 Sep32 Inter-Product</v>
      </c>
      <c r="B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7" t="str">
        <f ca="1">IF(rtd_data[[#This Row],[Product]]="","",IF(LEN(TRIM(rtd_data[[#This Row],[Product]]))-LEN(SUBSTITUTE(TRIM(rtd_data[[#This Row],[Product]])," ",""))&gt;=2,"Spread","Future"))</f>
        <v>Spread</v>
      </c>
      <c r="D87" t="str">
        <f ca="1">IFERROR(INDEX(exch_map[Exch],MATCH(rtd_data[[#This Row],[Group]],exch_map[Group],0)),"")</f>
        <v>ICE_L</v>
      </c>
      <c r="E87" s="11" t="str" cm="1">
        <f t="array" aca="1" ref="E87" ca="1">IFERROR(INDEX(_xlfn.ANCHORARRAY(contracts!$A$6),ROW()-ROW(rtd_data[#Headers]),2),"")</f>
        <v>Y</v>
      </c>
      <c r="F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7" t="str">
        <f ca="1">IF(rtd_data[[#This Row],[Exch]]="","",IF(rtd_data[[#This Row],[Exch]]="ICE_L","ICE",rtd_data[[#This Row],[Exch]]))</f>
        <v>ICE</v>
      </c>
      <c r="I87" t="str">
        <f ca="1">IF(rtd_data[[#This Row],[Product]]="","",IFERROR(INDEX(exch_map[TT_Symbol],MATCH(rtd_data[[#This Row],[Group]],exch_map[Group],0))&amp;"",""))</f>
        <v/>
      </c>
      <c r="J87" t="str">
        <f ca="1">IF(rtd_data[[#This Row],[Type]]="Future",PROPER(RIGHT(rtd_data[[#This Row],[Product]],5)),"")</f>
        <v/>
      </c>
    </row>
    <row r="88" spans="1:10" x14ac:dyDescent="0.25">
      <c r="A88" s="11" t="str" cm="1">
        <f t="array" aca="1" ref="A88" ca="1">IFERROR(INDEX(_xlfn.ANCHORARRAY(contracts!$A$6),ROW()-ROW(rtd_data[#Headers]),1),"")</f>
        <v>MPC OCT26</v>
      </c>
      <c r="B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88" t="str">
        <f ca="1">IF(rtd_data[[#This Row],[Product]]="","",IF(LEN(TRIM(rtd_data[[#This Row],[Product]]))-LEN(SUBSTITUTE(TRIM(rtd_data[[#This Row],[Product]])," ",""))&gt;=2,"Spread","Future"))</f>
        <v>Future</v>
      </c>
      <c r="D88" t="str">
        <f ca="1">IFERROR(INDEX(exch_map[Exch],MATCH(rtd_data[[#This Row],[Group]],exch_map[Group],0)),"")</f>
        <v>ICE_L</v>
      </c>
      <c r="E88" s="11" t="str" cm="1">
        <f t="array" aca="1" ref="E88" ca="1">IFERROR(INDEX(_xlfn.ANCHORARRAY(contracts!$A$6),ROW()-ROW(rtd_data[#Headers]),2),"")</f>
        <v>Y</v>
      </c>
      <c r="F8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8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88" t="str">
        <f ca="1">IF(rtd_data[[#This Row],[Exch]]="","",IF(rtd_data[[#This Row],[Exch]]="ICE_L","ICE",rtd_data[[#This Row],[Exch]]))</f>
        <v>ICE</v>
      </c>
      <c r="I88" t="str">
        <f ca="1">IF(rtd_data[[#This Row],[Product]]="","",IFERROR(INDEX(exch_map[TT_Symbol],MATCH(rtd_data[[#This Row],[Group]],exch_map[Group],0))&amp;"",""))</f>
        <v>MPC</v>
      </c>
      <c r="J88" t="str">
        <f ca="1">IF(rtd_data[[#This Row],[Type]]="Future",PROPER(RIGHT(rtd_data[[#This Row],[Product]],5)),"")</f>
        <v>Oct26</v>
      </c>
    </row>
    <row r="89" spans="1:10" x14ac:dyDescent="0.25">
      <c r="A89" s="11" t="str" cm="1">
        <f t="array" aca="1" ref="A89" ca="1">IFERROR(INDEX(_xlfn.ANCHORARRAY(contracts!$A$6),ROW()-ROW(rtd_data[#Headers]),1),"")</f>
        <v>MPC NOV26</v>
      </c>
      <c r="B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89" t="str">
        <f ca="1">IF(rtd_data[[#This Row],[Product]]="","",IF(LEN(TRIM(rtd_data[[#This Row],[Product]]))-LEN(SUBSTITUTE(TRIM(rtd_data[[#This Row],[Product]])," ",""))&gt;=2,"Spread","Future"))</f>
        <v>Future</v>
      </c>
      <c r="D89" t="str">
        <f ca="1">IFERROR(INDEX(exch_map[Exch],MATCH(rtd_data[[#This Row],[Group]],exch_map[Group],0)),"")</f>
        <v>ICE_L</v>
      </c>
      <c r="E89" s="11" t="str" cm="1">
        <f t="array" aca="1" ref="E89" ca="1">IFERROR(INDEX(_xlfn.ANCHORARRAY(contracts!$A$6),ROW()-ROW(rtd_data[#Headers]),2),"")</f>
        <v>Y</v>
      </c>
      <c r="F8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8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89" t="str">
        <f ca="1">IF(rtd_data[[#This Row],[Exch]]="","",IF(rtd_data[[#This Row],[Exch]]="ICE_L","ICE",rtd_data[[#This Row],[Exch]]))</f>
        <v>ICE</v>
      </c>
      <c r="I89" t="str">
        <f ca="1">IF(rtd_data[[#This Row],[Product]]="","",IFERROR(INDEX(exch_map[TT_Symbol],MATCH(rtd_data[[#This Row],[Group]],exch_map[Group],0))&amp;"",""))</f>
        <v>MPC</v>
      </c>
      <c r="J89" t="str">
        <f ca="1">IF(rtd_data[[#This Row],[Type]]="Future",PROPER(RIGHT(rtd_data[[#This Row],[Product]],5)),"")</f>
        <v>Nov26</v>
      </c>
    </row>
    <row r="90" spans="1:10" x14ac:dyDescent="0.25">
      <c r="A90" s="11" t="str" cm="1">
        <f t="array" aca="1" ref="A90" ca="1">IFERROR(INDEX(_xlfn.ANCHORARRAY(contracts!$A$6),ROW()-ROW(rtd_data[#Headers]),1),"")</f>
        <v>MPC DEC26</v>
      </c>
      <c r="B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0" t="str">
        <f ca="1">IF(rtd_data[[#This Row],[Product]]="","",IF(LEN(TRIM(rtd_data[[#This Row],[Product]]))-LEN(SUBSTITUTE(TRIM(rtd_data[[#This Row],[Product]])," ",""))&gt;=2,"Spread","Future"))</f>
        <v>Future</v>
      </c>
      <c r="D90" t="str">
        <f ca="1">IFERROR(INDEX(exch_map[Exch],MATCH(rtd_data[[#This Row],[Group]],exch_map[Group],0)),"")</f>
        <v>ICE_L</v>
      </c>
      <c r="E90" s="11" t="str" cm="1">
        <f t="array" aca="1" ref="E90" ca="1">IFERROR(INDEX(_xlfn.ANCHORARRAY(contracts!$A$6),ROW()-ROW(rtd_data[#Headers]),2),"")</f>
        <v>Y</v>
      </c>
      <c r="F9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0" t="str">
        <f ca="1">IF(rtd_data[[#This Row],[Exch]]="","",IF(rtd_data[[#This Row],[Exch]]="ICE_L","ICE",rtd_data[[#This Row],[Exch]]))</f>
        <v>ICE</v>
      </c>
      <c r="I90" t="str">
        <f ca="1">IF(rtd_data[[#This Row],[Product]]="","",IFERROR(INDEX(exch_map[TT_Symbol],MATCH(rtd_data[[#This Row],[Group]],exch_map[Group],0))&amp;"",""))</f>
        <v>MPC</v>
      </c>
      <c r="J90" t="str">
        <f ca="1">IF(rtd_data[[#This Row],[Type]]="Future",PROPER(RIGHT(rtd_data[[#This Row],[Product]],5)),"")</f>
        <v>Dec26</v>
      </c>
    </row>
    <row r="91" spans="1:10" x14ac:dyDescent="0.25">
      <c r="A91" s="11" t="str" cm="1">
        <f t="array" aca="1" ref="A91" ca="1">IFERROR(INDEX(_xlfn.ANCHORARRAY(contracts!$A$6),ROW()-ROW(rtd_data[#Headers]),1),"")</f>
        <v>MPC JAN27</v>
      </c>
      <c r="B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1" t="str">
        <f ca="1">IF(rtd_data[[#This Row],[Product]]="","",IF(LEN(TRIM(rtd_data[[#This Row],[Product]]))-LEN(SUBSTITUTE(TRIM(rtd_data[[#This Row],[Product]])," ",""))&gt;=2,"Spread","Future"))</f>
        <v>Future</v>
      </c>
      <c r="D91" t="str">
        <f ca="1">IFERROR(INDEX(exch_map[Exch],MATCH(rtd_data[[#This Row],[Group]],exch_map[Group],0)),"")</f>
        <v>ICE_L</v>
      </c>
      <c r="E91" s="11" t="str" cm="1">
        <f t="array" aca="1" ref="E91" ca="1">IFERROR(INDEX(_xlfn.ANCHORARRAY(contracts!$A$6),ROW()-ROW(rtd_data[#Headers]),2),"")</f>
        <v>Y</v>
      </c>
      <c r="F9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1" t="str">
        <f ca="1">IF(rtd_data[[#This Row],[Exch]]="","",IF(rtd_data[[#This Row],[Exch]]="ICE_L","ICE",rtd_data[[#This Row],[Exch]]))</f>
        <v>ICE</v>
      </c>
      <c r="I91" t="str">
        <f ca="1">IF(rtd_data[[#This Row],[Product]]="","",IFERROR(INDEX(exch_map[TT_Symbol],MATCH(rtd_data[[#This Row],[Group]],exch_map[Group],0))&amp;"",""))</f>
        <v>MPC</v>
      </c>
      <c r="J91" t="str">
        <f ca="1">IF(rtd_data[[#This Row],[Type]]="Future",PROPER(RIGHT(rtd_data[[#This Row],[Product]],5)),"")</f>
        <v>Jan27</v>
      </c>
    </row>
    <row r="92" spans="1:10" x14ac:dyDescent="0.25">
      <c r="A92" s="11" t="str" cm="1">
        <f t="array" aca="1" ref="A92" ca="1">IFERROR(INDEX(_xlfn.ANCHORARRAY(contracts!$A$6),ROW()-ROW(rtd_data[#Headers]),1),"")</f>
        <v>MPC FEB27</v>
      </c>
      <c r="B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2" t="str">
        <f ca="1">IF(rtd_data[[#This Row],[Product]]="","",IF(LEN(TRIM(rtd_data[[#This Row],[Product]]))-LEN(SUBSTITUTE(TRIM(rtd_data[[#This Row],[Product]])," ",""))&gt;=2,"Spread","Future"))</f>
        <v>Future</v>
      </c>
      <c r="D92" t="str">
        <f ca="1">IFERROR(INDEX(exch_map[Exch],MATCH(rtd_data[[#This Row],[Group]],exch_map[Group],0)),"")</f>
        <v>ICE_L</v>
      </c>
      <c r="E92" s="11" t="str" cm="1">
        <f t="array" aca="1" ref="E92" ca="1">IFERROR(INDEX(_xlfn.ANCHORARRAY(contracts!$A$6),ROW()-ROW(rtd_data[#Headers]),2),"")</f>
        <v>Y</v>
      </c>
      <c r="F9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2" t="str">
        <f ca="1">IF(rtd_data[[#This Row],[Exch]]="","",IF(rtd_data[[#This Row],[Exch]]="ICE_L","ICE",rtd_data[[#This Row],[Exch]]))</f>
        <v>ICE</v>
      </c>
      <c r="I92" t="str">
        <f ca="1">IF(rtd_data[[#This Row],[Product]]="","",IFERROR(INDEX(exch_map[TT_Symbol],MATCH(rtd_data[[#This Row],[Group]],exch_map[Group],0))&amp;"",""))</f>
        <v>MPC</v>
      </c>
      <c r="J92" t="str">
        <f ca="1">IF(rtd_data[[#This Row],[Type]]="Future",PROPER(RIGHT(rtd_data[[#This Row],[Product]],5)),"")</f>
        <v>Feb27</v>
      </c>
    </row>
    <row r="93" spans="1:10" x14ac:dyDescent="0.25">
      <c r="A93" s="11" t="str" cm="1">
        <f t="array" aca="1" ref="A93" ca="1">IFERROR(INDEX(_xlfn.ANCHORARRAY(contracts!$A$6),ROW()-ROW(rtd_data[#Headers]),1),"")</f>
        <v>MPC MAR27</v>
      </c>
      <c r="B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3" t="str">
        <f ca="1">IF(rtd_data[[#This Row],[Product]]="","",IF(LEN(TRIM(rtd_data[[#This Row],[Product]]))-LEN(SUBSTITUTE(TRIM(rtd_data[[#This Row],[Product]])," ",""))&gt;=2,"Spread","Future"))</f>
        <v>Future</v>
      </c>
      <c r="D93" t="str">
        <f ca="1">IFERROR(INDEX(exch_map[Exch],MATCH(rtd_data[[#This Row],[Group]],exch_map[Group],0)),"")</f>
        <v>ICE_L</v>
      </c>
      <c r="E93" s="11" t="str" cm="1">
        <f t="array" aca="1" ref="E93" ca="1">IFERROR(INDEX(_xlfn.ANCHORARRAY(contracts!$A$6),ROW()-ROW(rtd_data[#Headers]),2),"")</f>
        <v>Y</v>
      </c>
      <c r="F9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3" t="str">
        <f ca="1">IF(rtd_data[[#This Row],[Exch]]="","",IF(rtd_data[[#This Row],[Exch]]="ICE_L","ICE",rtd_data[[#This Row],[Exch]]))</f>
        <v>ICE</v>
      </c>
      <c r="I93" t="str">
        <f ca="1">IF(rtd_data[[#This Row],[Product]]="","",IFERROR(INDEX(exch_map[TT_Symbol],MATCH(rtd_data[[#This Row],[Group]],exch_map[Group],0))&amp;"",""))</f>
        <v>MPC</v>
      </c>
      <c r="J93" t="str">
        <f ca="1">IF(rtd_data[[#This Row],[Type]]="Future",PROPER(RIGHT(rtd_data[[#This Row],[Product]],5)),"")</f>
        <v>Mar27</v>
      </c>
    </row>
    <row r="94" spans="1:10" x14ac:dyDescent="0.25">
      <c r="A94" s="11" t="str" cm="1">
        <f t="array" aca="1" ref="A94" ca="1">IFERROR(INDEX(_xlfn.ANCHORARRAY(contracts!$A$6),ROW()-ROW(rtd_data[#Headers]),1),"")</f>
        <v>MPC JUN27</v>
      </c>
      <c r="B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4" t="str">
        <f ca="1">IF(rtd_data[[#This Row],[Product]]="","",IF(LEN(TRIM(rtd_data[[#This Row],[Product]]))-LEN(SUBSTITUTE(TRIM(rtd_data[[#This Row],[Product]])," ",""))&gt;=2,"Spread","Future"))</f>
        <v>Future</v>
      </c>
      <c r="D94" t="str">
        <f ca="1">IFERROR(INDEX(exch_map[Exch],MATCH(rtd_data[[#This Row],[Group]],exch_map[Group],0)),"")</f>
        <v>ICE_L</v>
      </c>
      <c r="E94" s="11" t="str" cm="1">
        <f t="array" aca="1" ref="E94" ca="1">IFERROR(INDEX(_xlfn.ANCHORARRAY(contracts!$A$6),ROW()-ROW(rtd_data[#Headers]),2),"")</f>
        <v>Y</v>
      </c>
      <c r="F9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4" t="str">
        <f ca="1">IF(rtd_data[[#This Row],[Exch]]="","",IF(rtd_data[[#This Row],[Exch]]="ICE_L","ICE",rtd_data[[#This Row],[Exch]]))</f>
        <v>ICE</v>
      </c>
      <c r="I94" t="str">
        <f ca="1">IF(rtd_data[[#This Row],[Product]]="","",IFERROR(INDEX(exch_map[TT_Symbol],MATCH(rtd_data[[#This Row],[Group]],exch_map[Group],0))&amp;"",""))</f>
        <v>MPC</v>
      </c>
      <c r="J94" t="str">
        <f ca="1">IF(rtd_data[[#This Row],[Type]]="Future",PROPER(RIGHT(rtd_data[[#This Row],[Product]],5)),"")</f>
        <v>Jun27</v>
      </c>
    </row>
    <row r="95" spans="1:10" x14ac:dyDescent="0.25">
      <c r="A95" s="11" t="str" cm="1">
        <f t="array" aca="1" ref="A95" ca="1">IFERROR(INDEX(_xlfn.ANCHORARRAY(contracts!$A$6),ROW()-ROW(rtd_data[#Headers]),1),"")</f>
        <v>MPC SEP27</v>
      </c>
      <c r="B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5" t="str">
        <f ca="1">IF(rtd_data[[#This Row],[Product]]="","",IF(LEN(TRIM(rtd_data[[#This Row],[Product]]))-LEN(SUBSTITUTE(TRIM(rtd_data[[#This Row],[Product]])," ",""))&gt;=2,"Spread","Future"))</f>
        <v>Future</v>
      </c>
      <c r="D95" t="str">
        <f ca="1">IFERROR(INDEX(exch_map[Exch],MATCH(rtd_data[[#This Row],[Group]],exch_map[Group],0)),"")</f>
        <v>ICE_L</v>
      </c>
      <c r="E95" s="11" t="str" cm="1">
        <f t="array" aca="1" ref="E95" ca="1">IFERROR(INDEX(_xlfn.ANCHORARRAY(contracts!$A$6),ROW()-ROW(rtd_data[#Headers]),2),"")</f>
        <v>Y</v>
      </c>
      <c r="F9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5" t="str">
        <f ca="1">IF(rtd_data[[#This Row],[Exch]]="","",IF(rtd_data[[#This Row],[Exch]]="ICE_L","ICE",rtd_data[[#This Row],[Exch]]))</f>
        <v>ICE</v>
      </c>
      <c r="I95" t="str">
        <f ca="1">IF(rtd_data[[#This Row],[Product]]="","",IFERROR(INDEX(exch_map[TT_Symbol],MATCH(rtd_data[[#This Row],[Group]],exch_map[Group],0))&amp;"",""))</f>
        <v>MPC</v>
      </c>
      <c r="J95" t="str">
        <f ca="1">IF(rtd_data[[#This Row],[Type]]="Future",PROPER(RIGHT(rtd_data[[#This Row],[Product]],5)),"")</f>
        <v>Sep27</v>
      </c>
    </row>
    <row r="96" spans="1:10" x14ac:dyDescent="0.25">
      <c r="A96" s="11" t="str" cm="1">
        <f t="array" aca="1" ref="A96" ca="1">IFERROR(INDEX(_xlfn.ANCHORARRAY(contracts!$A$6),ROW()-ROW(rtd_data[#Headers]),1),"")</f>
        <v>MPC DEC27</v>
      </c>
      <c r="B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6" t="str">
        <f ca="1">IF(rtd_data[[#This Row],[Product]]="","",IF(LEN(TRIM(rtd_data[[#This Row],[Product]]))-LEN(SUBSTITUTE(TRIM(rtd_data[[#This Row],[Product]])," ",""))&gt;=2,"Spread","Future"))</f>
        <v>Future</v>
      </c>
      <c r="D96" t="str">
        <f ca="1">IFERROR(INDEX(exch_map[Exch],MATCH(rtd_data[[#This Row],[Group]],exch_map[Group],0)),"")</f>
        <v>ICE_L</v>
      </c>
      <c r="E96" s="11" t="str" cm="1">
        <f t="array" aca="1" ref="E96" ca="1">IFERROR(INDEX(_xlfn.ANCHORARRAY(contracts!$A$6),ROW()-ROW(rtd_data[#Headers]),2),"")</f>
        <v>Y</v>
      </c>
      <c r="F9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6" t="str">
        <f ca="1">IF(rtd_data[[#This Row],[Exch]]="","",IF(rtd_data[[#This Row],[Exch]]="ICE_L","ICE",rtd_data[[#This Row],[Exch]]))</f>
        <v>ICE</v>
      </c>
      <c r="I96" t="str">
        <f ca="1">IF(rtd_data[[#This Row],[Product]]="","",IFERROR(INDEX(exch_map[TT_Symbol],MATCH(rtd_data[[#This Row],[Group]],exch_map[Group],0))&amp;"",""))</f>
        <v>MPC</v>
      </c>
      <c r="J96" t="str">
        <f ca="1">IF(rtd_data[[#This Row],[Type]]="Future",PROPER(RIGHT(rtd_data[[#This Row],[Product]],5)),"")</f>
        <v>Dec27</v>
      </c>
    </row>
    <row r="97" spans="1:10" x14ac:dyDescent="0.25">
      <c r="A97" s="11" t="str" cm="1">
        <f t="array" aca="1" ref="A97" ca="1">IFERROR(INDEX(_xlfn.ANCHORARRAY(contracts!$A$6),ROW()-ROW(rtd_data[#Headers]),1),"")</f>
        <v>MPC MAR28</v>
      </c>
      <c r="B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7" t="str">
        <f ca="1">IF(rtd_data[[#This Row],[Product]]="","",IF(LEN(TRIM(rtd_data[[#This Row],[Product]]))-LEN(SUBSTITUTE(TRIM(rtd_data[[#This Row],[Product]])," ",""))&gt;=2,"Spread","Future"))</f>
        <v>Future</v>
      </c>
      <c r="D97" t="str">
        <f ca="1">IFERROR(INDEX(exch_map[Exch],MATCH(rtd_data[[#This Row],[Group]],exch_map[Group],0)),"")</f>
        <v>ICE_L</v>
      </c>
      <c r="E97" s="11" t="str" cm="1">
        <f t="array" aca="1" ref="E97" ca="1">IFERROR(INDEX(_xlfn.ANCHORARRAY(contracts!$A$6),ROW()-ROW(rtd_data[#Headers]),2),"")</f>
        <v>Y</v>
      </c>
      <c r="F9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7" t="str">
        <f ca="1">IF(rtd_data[[#This Row],[Exch]]="","",IF(rtd_data[[#This Row],[Exch]]="ICE_L","ICE",rtd_data[[#This Row],[Exch]]))</f>
        <v>ICE</v>
      </c>
      <c r="I97" t="str">
        <f ca="1">IF(rtd_data[[#This Row],[Product]]="","",IFERROR(INDEX(exch_map[TT_Symbol],MATCH(rtd_data[[#This Row],[Group]],exch_map[Group],0))&amp;"",""))</f>
        <v>MPC</v>
      </c>
      <c r="J97" t="str">
        <f ca="1">IF(rtd_data[[#This Row],[Type]]="Future",PROPER(RIGHT(rtd_data[[#This Row],[Product]],5)),"")</f>
        <v>Mar28</v>
      </c>
    </row>
    <row r="98" spans="1:10" x14ac:dyDescent="0.25">
      <c r="A98" s="11" t="str" cm="1">
        <f t="array" aca="1" ref="A98" ca="1">IFERROR(INDEX(_xlfn.ANCHORARRAY(contracts!$A$6),ROW()-ROW(rtd_data[#Headers]),1),"")</f>
        <v>MPC JUN28</v>
      </c>
      <c r="B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8" t="str">
        <f ca="1">IF(rtd_data[[#This Row],[Product]]="","",IF(LEN(TRIM(rtd_data[[#This Row],[Product]]))-LEN(SUBSTITUTE(TRIM(rtd_data[[#This Row],[Product]])," ",""))&gt;=2,"Spread","Future"))</f>
        <v>Future</v>
      </c>
      <c r="D98" t="str">
        <f ca="1">IFERROR(INDEX(exch_map[Exch],MATCH(rtd_data[[#This Row],[Group]],exch_map[Group],0)),"")</f>
        <v>ICE_L</v>
      </c>
      <c r="E98" s="11" t="str" cm="1">
        <f t="array" aca="1" ref="E98" ca="1">IFERROR(INDEX(_xlfn.ANCHORARRAY(contracts!$A$6),ROW()-ROW(rtd_data[#Headers]),2),"")</f>
        <v>Y</v>
      </c>
      <c r="F9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8" t="str">
        <f ca="1">IF(rtd_data[[#This Row],[Exch]]="","",IF(rtd_data[[#This Row],[Exch]]="ICE_L","ICE",rtd_data[[#This Row],[Exch]]))</f>
        <v>ICE</v>
      </c>
      <c r="I98" t="str">
        <f ca="1">IF(rtd_data[[#This Row],[Product]]="","",IFERROR(INDEX(exch_map[TT_Symbol],MATCH(rtd_data[[#This Row],[Group]],exch_map[Group],0))&amp;"",""))</f>
        <v>MPC</v>
      </c>
      <c r="J98" t="str">
        <f ca="1">IF(rtd_data[[#This Row],[Type]]="Future",PROPER(RIGHT(rtd_data[[#This Row],[Product]],5)),"")</f>
        <v>Jun28</v>
      </c>
    </row>
    <row r="99" spans="1:10" x14ac:dyDescent="0.25">
      <c r="A99" s="11" t="str" cm="1">
        <f t="array" aca="1" ref="A99" ca="1">IFERROR(INDEX(_xlfn.ANCHORARRAY(contracts!$A$6),ROW()-ROW(rtd_data[#Headers]),1),"")</f>
        <v>MPC SEP28</v>
      </c>
      <c r="B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9" t="str">
        <f ca="1">IF(rtd_data[[#This Row],[Product]]="","",IF(LEN(TRIM(rtd_data[[#This Row],[Product]]))-LEN(SUBSTITUTE(TRIM(rtd_data[[#This Row],[Product]])," ",""))&gt;=2,"Spread","Future"))</f>
        <v>Future</v>
      </c>
      <c r="D99" t="str">
        <f ca="1">IFERROR(INDEX(exch_map[Exch],MATCH(rtd_data[[#This Row],[Group]],exch_map[Group],0)),"")</f>
        <v>ICE_L</v>
      </c>
      <c r="E99" s="11" t="str" cm="1">
        <f t="array" aca="1" ref="E99" ca="1">IFERROR(INDEX(_xlfn.ANCHORARRAY(contracts!$A$6),ROW()-ROW(rtd_data[#Headers]),2),"")</f>
        <v>Y</v>
      </c>
      <c r="F9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9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99" t="str">
        <f ca="1">IF(rtd_data[[#This Row],[Exch]]="","",IF(rtd_data[[#This Row],[Exch]]="ICE_L","ICE",rtd_data[[#This Row],[Exch]]))</f>
        <v>ICE</v>
      </c>
      <c r="I99" t="str">
        <f ca="1">IF(rtd_data[[#This Row],[Product]]="","",IFERROR(INDEX(exch_map[TT_Symbol],MATCH(rtd_data[[#This Row],[Group]],exch_map[Group],0))&amp;"",""))</f>
        <v>MPC</v>
      </c>
      <c r="J99" t="str">
        <f ca="1">IF(rtd_data[[#This Row],[Type]]="Future",PROPER(RIGHT(rtd_data[[#This Row],[Product]],5)),"")</f>
        <v>Sep28</v>
      </c>
    </row>
    <row r="100" spans="1:10" x14ac:dyDescent="0.25">
      <c r="A100" s="11" t="str" cm="1">
        <f t="array" aca="1" ref="A100" ca="1">IFERROR(INDEX(_xlfn.ANCHORARRAY(contracts!$A$6),ROW()-ROW(rtd_data[#Headers]),1),"")</f>
        <v>R DEC26</v>
      </c>
      <c r="B1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R</v>
      </c>
      <c r="C100" t="str">
        <f ca="1">IF(rtd_data[[#This Row],[Product]]="","",IF(LEN(TRIM(rtd_data[[#This Row],[Product]]))-LEN(SUBSTITUTE(TRIM(rtd_data[[#This Row],[Product]])," ",""))&gt;=2,"Spread","Future"))</f>
        <v>Future</v>
      </c>
      <c r="D100" t="str">
        <f ca="1">IFERROR(INDEX(exch_map[Exch],MATCH(rtd_data[[#This Row],[Group]],exch_map[Group],0)),"")</f>
        <v>ICE_L</v>
      </c>
      <c r="E100" s="11" t="str" cm="1">
        <f t="array" aca="1" ref="E100" ca="1">IFERROR(INDEX(_xlfn.ANCHORARRAY(contracts!$A$6),ROW()-ROW(rtd_data[#Headers]),2),"")</f>
        <v>Y</v>
      </c>
      <c r="F10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0" t="str">
        <f ca="1">IF(rtd_data[[#This Row],[Exch]]="","",IF(rtd_data[[#This Row],[Exch]]="ICE_L","ICE",rtd_data[[#This Row],[Exch]]))</f>
        <v>ICE</v>
      </c>
      <c r="I100" t="str">
        <f ca="1">IF(rtd_data[[#This Row],[Product]]="","",IFERROR(INDEX(exch_map[TT_Symbol],MATCH(rtd_data[[#This Row],[Group]],exch_map[Group],0))&amp;"",""))</f>
        <v>R</v>
      </c>
      <c r="J100" t="str">
        <f ca="1">IF(rtd_data[[#This Row],[Type]]="Future",PROPER(RIGHT(rtd_data[[#This Row],[Product]],5)),"")</f>
        <v>Dec26</v>
      </c>
    </row>
    <row r="101" spans="1:10" x14ac:dyDescent="0.25">
      <c r="A101" s="11" t="str" cm="1">
        <f t="array" aca="1" ref="A101" ca="1">IFERROR(INDEX(_xlfn.ANCHORARRAY(contracts!$A$6),ROW()-ROW(rtd_data[#Headers]),1),"")</f>
        <v>SA3 DEC26</v>
      </c>
      <c r="B1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1" t="str">
        <f ca="1">IF(rtd_data[[#This Row],[Product]]="","",IF(LEN(TRIM(rtd_data[[#This Row],[Product]]))-LEN(SUBSTITUTE(TRIM(rtd_data[[#This Row],[Product]])," ",""))&gt;=2,"Spread","Future"))</f>
        <v>Future</v>
      </c>
      <c r="D101" t="str">
        <f ca="1">IFERROR(INDEX(exch_map[Exch],MATCH(rtd_data[[#This Row],[Group]],exch_map[Group],0)),"")</f>
        <v>ICE_L</v>
      </c>
      <c r="E101" s="11" t="str" cm="1">
        <f t="array" aca="1" ref="E101" ca="1">IFERROR(INDEX(_xlfn.ANCHORARRAY(contracts!$A$6),ROW()-ROW(rtd_data[#Headers]),2),"")</f>
        <v>Y</v>
      </c>
      <c r="F10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1" t="str">
        <f ca="1">IF(rtd_data[[#This Row],[Exch]]="","",IF(rtd_data[[#This Row],[Exch]]="ICE_L","ICE",rtd_data[[#This Row],[Exch]]))</f>
        <v>ICE</v>
      </c>
      <c r="I101" t="str">
        <f ca="1">IF(rtd_data[[#This Row],[Product]]="","",IFERROR(INDEX(exch_map[TT_Symbol],MATCH(rtd_data[[#This Row],[Group]],exch_map[Group],0))&amp;"",""))</f>
        <v>SA3</v>
      </c>
      <c r="J101" t="str">
        <f ca="1">IF(rtd_data[[#This Row],[Type]]="Future",PROPER(RIGHT(rtd_data[[#This Row],[Product]],5)),"")</f>
        <v>Dec26</v>
      </c>
    </row>
    <row r="102" spans="1:10" x14ac:dyDescent="0.25">
      <c r="A102" s="11" t="str" cm="1">
        <f t="array" aca="1" ref="A102" ca="1">IFERROR(INDEX(_xlfn.ANCHORARRAY(contracts!$A$6),ROW()-ROW(rtd_data[#Headers]),1),"")</f>
        <v>SA3 MAR27</v>
      </c>
      <c r="B1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2" t="str">
        <f ca="1">IF(rtd_data[[#This Row],[Product]]="","",IF(LEN(TRIM(rtd_data[[#This Row],[Product]]))-LEN(SUBSTITUTE(TRIM(rtd_data[[#This Row],[Product]])," ",""))&gt;=2,"Spread","Future"))</f>
        <v>Future</v>
      </c>
      <c r="D102" t="str">
        <f ca="1">IFERROR(INDEX(exch_map[Exch],MATCH(rtd_data[[#This Row],[Group]],exch_map[Group],0)),"")</f>
        <v>ICE_L</v>
      </c>
      <c r="E102" s="11" t="str" cm="1">
        <f t="array" aca="1" ref="E102" ca="1">IFERROR(INDEX(_xlfn.ANCHORARRAY(contracts!$A$6),ROW()-ROW(rtd_data[#Headers]),2),"")</f>
        <v>Y</v>
      </c>
      <c r="F10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2" t="str">
        <f ca="1">IF(rtd_data[[#This Row],[Exch]]="","",IF(rtd_data[[#This Row],[Exch]]="ICE_L","ICE",rtd_data[[#This Row],[Exch]]))</f>
        <v>ICE</v>
      </c>
      <c r="I102" t="str">
        <f ca="1">IF(rtd_data[[#This Row],[Product]]="","",IFERROR(INDEX(exch_map[TT_Symbol],MATCH(rtd_data[[#This Row],[Group]],exch_map[Group],0))&amp;"",""))</f>
        <v>SA3</v>
      </c>
      <c r="J102" t="str">
        <f ca="1">IF(rtd_data[[#This Row],[Type]]="Future",PROPER(RIGHT(rtd_data[[#This Row],[Product]],5)),"")</f>
        <v>Mar27</v>
      </c>
    </row>
    <row r="103" spans="1:10" x14ac:dyDescent="0.25">
      <c r="A103" s="11" t="str" cm="1">
        <f t="array" aca="1" ref="A103" ca="1">IFERROR(INDEX(_xlfn.ANCHORARRAY(contracts!$A$6),ROW()-ROW(rtd_data[#Headers]),1),"")</f>
        <v>SA3 JUN27</v>
      </c>
      <c r="B1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3" t="str">
        <f ca="1">IF(rtd_data[[#This Row],[Product]]="","",IF(LEN(TRIM(rtd_data[[#This Row],[Product]]))-LEN(SUBSTITUTE(TRIM(rtd_data[[#This Row],[Product]])," ",""))&gt;=2,"Spread","Future"))</f>
        <v>Future</v>
      </c>
      <c r="D103" t="str">
        <f ca="1">IFERROR(INDEX(exch_map[Exch],MATCH(rtd_data[[#This Row],[Group]],exch_map[Group],0)),"")</f>
        <v>ICE_L</v>
      </c>
      <c r="E103" s="11" t="str" cm="1">
        <f t="array" aca="1" ref="E103" ca="1">IFERROR(INDEX(_xlfn.ANCHORARRAY(contracts!$A$6),ROW()-ROW(rtd_data[#Headers]),2),"")</f>
        <v>Y</v>
      </c>
      <c r="F10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3" t="str">
        <f ca="1">IF(rtd_data[[#This Row],[Exch]]="","",IF(rtd_data[[#This Row],[Exch]]="ICE_L","ICE",rtd_data[[#This Row],[Exch]]))</f>
        <v>ICE</v>
      </c>
      <c r="I103" t="str">
        <f ca="1">IF(rtd_data[[#This Row],[Product]]="","",IFERROR(INDEX(exch_map[TT_Symbol],MATCH(rtd_data[[#This Row],[Group]],exch_map[Group],0))&amp;"",""))</f>
        <v>SA3</v>
      </c>
      <c r="J103" t="str">
        <f ca="1">IF(rtd_data[[#This Row],[Type]]="Future",PROPER(RIGHT(rtd_data[[#This Row],[Product]],5)),"")</f>
        <v>Jun27</v>
      </c>
    </row>
    <row r="104" spans="1:10" x14ac:dyDescent="0.25">
      <c r="A104" s="11" t="str" cm="1">
        <f t="array" aca="1" ref="A104" ca="1">IFERROR(INDEX(_xlfn.ANCHORARRAY(contracts!$A$6),ROW()-ROW(rtd_data[#Headers]),1),"")</f>
        <v>SA3 SEP27</v>
      </c>
      <c r="B1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4" t="str">
        <f ca="1">IF(rtd_data[[#This Row],[Product]]="","",IF(LEN(TRIM(rtd_data[[#This Row],[Product]]))-LEN(SUBSTITUTE(TRIM(rtd_data[[#This Row],[Product]])," ",""))&gt;=2,"Spread","Future"))</f>
        <v>Future</v>
      </c>
      <c r="D104" t="str">
        <f ca="1">IFERROR(INDEX(exch_map[Exch],MATCH(rtd_data[[#This Row],[Group]],exch_map[Group],0)),"")</f>
        <v>ICE_L</v>
      </c>
      <c r="E104" s="11" t="str" cm="1">
        <f t="array" aca="1" ref="E104" ca="1">IFERROR(INDEX(_xlfn.ANCHORARRAY(contracts!$A$6),ROW()-ROW(rtd_data[#Headers]),2),"")</f>
        <v>Y</v>
      </c>
      <c r="F10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4" t="str">
        <f ca="1">IF(rtd_data[[#This Row],[Exch]]="","",IF(rtd_data[[#This Row],[Exch]]="ICE_L","ICE",rtd_data[[#This Row],[Exch]]))</f>
        <v>ICE</v>
      </c>
      <c r="I104" t="str">
        <f ca="1">IF(rtd_data[[#This Row],[Product]]="","",IFERROR(INDEX(exch_map[TT_Symbol],MATCH(rtd_data[[#This Row],[Group]],exch_map[Group],0))&amp;"",""))</f>
        <v>SA3</v>
      </c>
      <c r="J104" t="str">
        <f ca="1">IF(rtd_data[[#This Row],[Type]]="Future",PROPER(RIGHT(rtd_data[[#This Row],[Product]],5)),"")</f>
        <v>Sep27</v>
      </c>
    </row>
    <row r="105" spans="1:10" x14ac:dyDescent="0.25">
      <c r="A105" s="11" t="str" cm="1">
        <f t="array" aca="1" ref="A105" ca="1">IFERROR(INDEX(_xlfn.ANCHORARRAY(contracts!$A$6),ROW()-ROW(rtd_data[#Headers]),1),"")</f>
        <v>SA3 DEC27</v>
      </c>
      <c r="B1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5" t="str">
        <f ca="1">IF(rtd_data[[#This Row],[Product]]="","",IF(LEN(TRIM(rtd_data[[#This Row],[Product]]))-LEN(SUBSTITUTE(TRIM(rtd_data[[#This Row],[Product]])," ",""))&gt;=2,"Spread","Future"))</f>
        <v>Future</v>
      </c>
      <c r="D105" t="str">
        <f ca="1">IFERROR(INDEX(exch_map[Exch],MATCH(rtd_data[[#This Row],[Group]],exch_map[Group],0)),"")</f>
        <v>ICE_L</v>
      </c>
      <c r="E105" s="11" t="str" cm="1">
        <f t="array" aca="1" ref="E105" ca="1">IFERROR(INDEX(_xlfn.ANCHORARRAY(contracts!$A$6),ROW()-ROW(rtd_data[#Headers]),2),"")</f>
        <v>Y</v>
      </c>
      <c r="F10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5" t="str">
        <f ca="1">IF(rtd_data[[#This Row],[Exch]]="","",IF(rtd_data[[#This Row],[Exch]]="ICE_L","ICE",rtd_data[[#This Row],[Exch]]))</f>
        <v>ICE</v>
      </c>
      <c r="I105" t="str">
        <f ca="1">IF(rtd_data[[#This Row],[Product]]="","",IFERROR(INDEX(exch_map[TT_Symbol],MATCH(rtd_data[[#This Row],[Group]],exch_map[Group],0))&amp;"",""))</f>
        <v>SA3</v>
      </c>
      <c r="J105" t="str">
        <f ca="1">IF(rtd_data[[#This Row],[Type]]="Future",PROPER(RIGHT(rtd_data[[#This Row],[Product]],5)),"")</f>
        <v>Dec27</v>
      </c>
    </row>
    <row r="106" spans="1:10" x14ac:dyDescent="0.25">
      <c r="A106" s="11" t="str" cm="1">
        <f t="array" aca="1" ref="A106" ca="1">IFERROR(INDEX(_xlfn.ANCHORARRAY(contracts!$A$6),ROW()-ROW(rtd_data[#Headers]),1),"")</f>
        <v>SA3 MAR28</v>
      </c>
      <c r="B1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6" t="str">
        <f ca="1">IF(rtd_data[[#This Row],[Product]]="","",IF(LEN(TRIM(rtd_data[[#This Row],[Product]]))-LEN(SUBSTITUTE(TRIM(rtd_data[[#This Row],[Product]])," ",""))&gt;=2,"Spread","Future"))</f>
        <v>Future</v>
      </c>
      <c r="D106" t="str">
        <f ca="1">IFERROR(INDEX(exch_map[Exch],MATCH(rtd_data[[#This Row],[Group]],exch_map[Group],0)),"")</f>
        <v>ICE_L</v>
      </c>
      <c r="E106" s="11" t="str" cm="1">
        <f t="array" aca="1" ref="E106" ca="1">IFERROR(INDEX(_xlfn.ANCHORARRAY(contracts!$A$6),ROW()-ROW(rtd_data[#Headers]),2),"")</f>
        <v>Y</v>
      </c>
      <c r="F10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6" t="str">
        <f ca="1">IF(rtd_data[[#This Row],[Exch]]="","",IF(rtd_data[[#This Row],[Exch]]="ICE_L","ICE",rtd_data[[#This Row],[Exch]]))</f>
        <v>ICE</v>
      </c>
      <c r="I106" t="str">
        <f ca="1">IF(rtd_data[[#This Row],[Product]]="","",IFERROR(INDEX(exch_map[TT_Symbol],MATCH(rtd_data[[#This Row],[Group]],exch_map[Group],0))&amp;"",""))</f>
        <v>SA3</v>
      </c>
      <c r="J106" t="str">
        <f ca="1">IF(rtd_data[[#This Row],[Type]]="Future",PROPER(RIGHT(rtd_data[[#This Row],[Product]],5)),"")</f>
        <v>Mar28</v>
      </c>
    </row>
    <row r="107" spans="1:10" x14ac:dyDescent="0.25">
      <c r="A107" s="11" t="str" cm="1">
        <f t="array" aca="1" ref="A107" ca="1">IFERROR(INDEX(_xlfn.ANCHORARRAY(contracts!$A$6),ROW()-ROW(rtd_data[#Headers]),1),"")</f>
        <v>SA3 JUN28</v>
      </c>
      <c r="B1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7" t="str">
        <f ca="1">IF(rtd_data[[#This Row],[Product]]="","",IF(LEN(TRIM(rtd_data[[#This Row],[Product]]))-LEN(SUBSTITUTE(TRIM(rtd_data[[#This Row],[Product]])," ",""))&gt;=2,"Spread","Future"))</f>
        <v>Future</v>
      </c>
      <c r="D107" t="str">
        <f ca="1">IFERROR(INDEX(exch_map[Exch],MATCH(rtd_data[[#This Row],[Group]],exch_map[Group],0)),"")</f>
        <v>ICE_L</v>
      </c>
      <c r="E107" s="11" t="str" cm="1">
        <f t="array" aca="1" ref="E107" ca="1">IFERROR(INDEX(_xlfn.ANCHORARRAY(contracts!$A$6),ROW()-ROW(rtd_data[#Headers]),2),"")</f>
        <v>Y</v>
      </c>
      <c r="F10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7" t="str">
        <f ca="1">IF(rtd_data[[#This Row],[Exch]]="","",IF(rtd_data[[#This Row],[Exch]]="ICE_L","ICE",rtd_data[[#This Row],[Exch]]))</f>
        <v>ICE</v>
      </c>
      <c r="I107" t="str">
        <f ca="1">IF(rtd_data[[#This Row],[Product]]="","",IFERROR(INDEX(exch_map[TT_Symbol],MATCH(rtd_data[[#This Row],[Group]],exch_map[Group],0))&amp;"",""))</f>
        <v>SA3</v>
      </c>
      <c r="J107" t="str">
        <f ca="1">IF(rtd_data[[#This Row],[Type]]="Future",PROPER(RIGHT(rtd_data[[#This Row],[Product]],5)),"")</f>
        <v>Jun28</v>
      </c>
    </row>
    <row r="108" spans="1:10" x14ac:dyDescent="0.25">
      <c r="A108" s="11" t="str" cm="1">
        <f t="array" aca="1" ref="A108" ca="1">IFERROR(INDEX(_xlfn.ANCHORARRAY(contracts!$A$6),ROW()-ROW(rtd_data[#Headers]),1),"")</f>
        <v>SA3 SEP28</v>
      </c>
      <c r="B1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8" t="str">
        <f ca="1">IF(rtd_data[[#This Row],[Product]]="","",IF(LEN(TRIM(rtd_data[[#This Row],[Product]]))-LEN(SUBSTITUTE(TRIM(rtd_data[[#This Row],[Product]])," ",""))&gt;=2,"Spread","Future"))</f>
        <v>Future</v>
      </c>
      <c r="D108" t="str">
        <f ca="1">IFERROR(INDEX(exch_map[Exch],MATCH(rtd_data[[#This Row],[Group]],exch_map[Group],0)),"")</f>
        <v>ICE_L</v>
      </c>
      <c r="E108" s="11" t="str" cm="1">
        <f t="array" aca="1" ref="E108" ca="1">IFERROR(INDEX(_xlfn.ANCHORARRAY(contracts!$A$6),ROW()-ROW(rtd_data[#Headers]),2),"")</f>
        <v>Y</v>
      </c>
      <c r="F10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8" t="str">
        <f ca="1">IF(rtd_data[[#This Row],[Exch]]="","",IF(rtd_data[[#This Row],[Exch]]="ICE_L","ICE",rtd_data[[#This Row],[Exch]]))</f>
        <v>ICE</v>
      </c>
      <c r="I108" t="str">
        <f ca="1">IF(rtd_data[[#This Row],[Product]]="","",IFERROR(INDEX(exch_map[TT_Symbol],MATCH(rtd_data[[#This Row],[Group]],exch_map[Group],0))&amp;"",""))</f>
        <v>SA3</v>
      </c>
      <c r="J108" t="str">
        <f ca="1">IF(rtd_data[[#This Row],[Type]]="Future",PROPER(RIGHT(rtd_data[[#This Row],[Product]],5)),"")</f>
        <v>Sep28</v>
      </c>
    </row>
    <row r="109" spans="1:10" x14ac:dyDescent="0.25">
      <c r="A109" s="11" t="str" cm="1">
        <f t="array" aca="1" ref="A109" ca="1">IFERROR(INDEX(_xlfn.ANCHORARRAY(contracts!$A$6),ROW()-ROW(rtd_data[#Headers]),1),"")</f>
        <v>SA3 DEC28</v>
      </c>
      <c r="B1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9" t="str">
        <f ca="1">IF(rtd_data[[#This Row],[Product]]="","",IF(LEN(TRIM(rtd_data[[#This Row],[Product]]))-LEN(SUBSTITUTE(TRIM(rtd_data[[#This Row],[Product]])," ",""))&gt;=2,"Spread","Future"))</f>
        <v>Future</v>
      </c>
      <c r="D109" t="str">
        <f ca="1">IFERROR(INDEX(exch_map[Exch],MATCH(rtd_data[[#This Row],[Group]],exch_map[Group],0)),"")</f>
        <v>ICE_L</v>
      </c>
      <c r="E109" s="11" t="str" cm="1">
        <f t="array" aca="1" ref="E109" ca="1">IFERROR(INDEX(_xlfn.ANCHORARRAY(contracts!$A$6),ROW()-ROW(rtd_data[#Headers]),2),"")</f>
        <v>Y</v>
      </c>
      <c r="F10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0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09" t="str">
        <f ca="1">IF(rtd_data[[#This Row],[Exch]]="","",IF(rtd_data[[#This Row],[Exch]]="ICE_L","ICE",rtd_data[[#This Row],[Exch]]))</f>
        <v>ICE</v>
      </c>
      <c r="I109" t="str">
        <f ca="1">IF(rtd_data[[#This Row],[Product]]="","",IFERROR(INDEX(exch_map[TT_Symbol],MATCH(rtd_data[[#This Row],[Group]],exch_map[Group],0))&amp;"",""))</f>
        <v>SA3</v>
      </c>
      <c r="J109" t="str">
        <f ca="1">IF(rtd_data[[#This Row],[Type]]="Future",PROPER(RIGHT(rtd_data[[#This Row],[Product]],5)),"")</f>
        <v>Dec28</v>
      </c>
    </row>
    <row r="110" spans="1:10" x14ac:dyDescent="0.25">
      <c r="A110" s="11" t="str" cm="1">
        <f t="array" aca="1" ref="A110" ca="1">IFERROR(INDEX(_xlfn.ANCHORARRAY(contracts!$A$6),ROW()-ROW(rtd_data[#Headers]),1),"")</f>
        <v>SA3 MAR29</v>
      </c>
      <c r="B1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0" t="str">
        <f ca="1">IF(rtd_data[[#This Row],[Product]]="","",IF(LEN(TRIM(rtd_data[[#This Row],[Product]]))-LEN(SUBSTITUTE(TRIM(rtd_data[[#This Row],[Product]])," ",""))&gt;=2,"Spread","Future"))</f>
        <v>Future</v>
      </c>
      <c r="D110" t="str">
        <f ca="1">IFERROR(INDEX(exch_map[Exch],MATCH(rtd_data[[#This Row],[Group]],exch_map[Group],0)),"")</f>
        <v>ICE_L</v>
      </c>
      <c r="E110" s="11" t="str" cm="1">
        <f t="array" aca="1" ref="E110" ca="1">IFERROR(INDEX(_xlfn.ANCHORARRAY(contracts!$A$6),ROW()-ROW(rtd_data[#Headers]),2),"")</f>
        <v>Y</v>
      </c>
      <c r="F11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0" t="str">
        <f ca="1">IF(rtd_data[[#This Row],[Exch]]="","",IF(rtd_data[[#This Row],[Exch]]="ICE_L","ICE",rtd_data[[#This Row],[Exch]]))</f>
        <v>ICE</v>
      </c>
      <c r="I110" t="str">
        <f ca="1">IF(rtd_data[[#This Row],[Product]]="","",IFERROR(INDEX(exch_map[TT_Symbol],MATCH(rtd_data[[#This Row],[Group]],exch_map[Group],0))&amp;"",""))</f>
        <v>SA3</v>
      </c>
      <c r="J110" t="str">
        <f ca="1">IF(rtd_data[[#This Row],[Type]]="Future",PROPER(RIGHT(rtd_data[[#This Row],[Product]],5)),"")</f>
        <v>Mar29</v>
      </c>
    </row>
    <row r="111" spans="1:10" x14ac:dyDescent="0.25">
      <c r="A111" s="11" t="str" cm="1">
        <f t="array" aca="1" ref="A111" ca="1">IFERROR(INDEX(_xlfn.ANCHORARRAY(contracts!$A$6),ROW()-ROW(rtd_data[#Headers]),1),"")</f>
        <v>SA3 JUN29</v>
      </c>
      <c r="B1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1" t="str">
        <f ca="1">IF(rtd_data[[#This Row],[Product]]="","",IF(LEN(TRIM(rtd_data[[#This Row],[Product]]))-LEN(SUBSTITUTE(TRIM(rtd_data[[#This Row],[Product]])," ",""))&gt;=2,"Spread","Future"))</f>
        <v>Future</v>
      </c>
      <c r="D111" t="str">
        <f ca="1">IFERROR(INDEX(exch_map[Exch],MATCH(rtd_data[[#This Row],[Group]],exch_map[Group],0)),"")</f>
        <v>ICE_L</v>
      </c>
      <c r="E111" s="11" t="str" cm="1">
        <f t="array" aca="1" ref="E111" ca="1">IFERROR(INDEX(_xlfn.ANCHORARRAY(contracts!$A$6),ROW()-ROW(rtd_data[#Headers]),2),"")</f>
        <v>Y</v>
      </c>
      <c r="F11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1" t="str">
        <f ca="1">IF(rtd_data[[#This Row],[Exch]]="","",IF(rtd_data[[#This Row],[Exch]]="ICE_L","ICE",rtd_data[[#This Row],[Exch]]))</f>
        <v>ICE</v>
      </c>
      <c r="I111" t="str">
        <f ca="1">IF(rtd_data[[#This Row],[Product]]="","",IFERROR(INDEX(exch_map[TT_Symbol],MATCH(rtd_data[[#This Row],[Group]],exch_map[Group],0))&amp;"",""))</f>
        <v>SA3</v>
      </c>
      <c r="J111" t="str">
        <f ca="1">IF(rtd_data[[#This Row],[Type]]="Future",PROPER(RIGHT(rtd_data[[#This Row],[Product]],5)),"")</f>
        <v>Jun29</v>
      </c>
    </row>
    <row r="112" spans="1:10" x14ac:dyDescent="0.25">
      <c r="A112" s="11" t="str" cm="1">
        <f t="array" aca="1" ref="A112" ca="1">IFERROR(INDEX(_xlfn.ANCHORARRAY(contracts!$A$6),ROW()-ROW(rtd_data[#Headers]),1),"")</f>
        <v>SA3 SEP29</v>
      </c>
      <c r="B1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2" t="str">
        <f ca="1">IF(rtd_data[[#This Row],[Product]]="","",IF(LEN(TRIM(rtd_data[[#This Row],[Product]]))-LEN(SUBSTITUTE(TRIM(rtd_data[[#This Row],[Product]])," ",""))&gt;=2,"Spread","Future"))</f>
        <v>Future</v>
      </c>
      <c r="D112" t="str">
        <f ca="1">IFERROR(INDEX(exch_map[Exch],MATCH(rtd_data[[#This Row],[Group]],exch_map[Group],0)),"")</f>
        <v>ICE_L</v>
      </c>
      <c r="E112" s="11" t="str" cm="1">
        <f t="array" aca="1" ref="E112" ca="1">IFERROR(INDEX(_xlfn.ANCHORARRAY(contracts!$A$6),ROW()-ROW(rtd_data[#Headers]),2),"")</f>
        <v>Y</v>
      </c>
      <c r="F11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2" t="str">
        <f ca="1">IF(rtd_data[[#This Row],[Exch]]="","",IF(rtd_data[[#This Row],[Exch]]="ICE_L","ICE",rtd_data[[#This Row],[Exch]]))</f>
        <v>ICE</v>
      </c>
      <c r="I112" t="str">
        <f ca="1">IF(rtd_data[[#This Row],[Product]]="","",IFERROR(INDEX(exch_map[TT_Symbol],MATCH(rtd_data[[#This Row],[Group]],exch_map[Group],0))&amp;"",""))</f>
        <v>SA3</v>
      </c>
      <c r="J112" t="str">
        <f ca="1">IF(rtd_data[[#This Row],[Type]]="Future",PROPER(RIGHT(rtd_data[[#This Row],[Product]],5)),"")</f>
        <v>Sep29</v>
      </c>
    </row>
    <row r="113" spans="1:10" x14ac:dyDescent="0.25">
      <c r="A113" s="11" t="str" cm="1">
        <f t="array" aca="1" ref="A113" ca="1">IFERROR(INDEX(_xlfn.ANCHORARRAY(contracts!$A$6),ROW()-ROW(rtd_data[#Headers]),1),"")</f>
        <v>SO3 DEC26</v>
      </c>
      <c r="B1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3" t="str">
        <f ca="1">IF(rtd_data[[#This Row],[Product]]="","",IF(LEN(TRIM(rtd_data[[#This Row],[Product]]))-LEN(SUBSTITUTE(TRIM(rtd_data[[#This Row],[Product]])," ",""))&gt;=2,"Spread","Future"))</f>
        <v>Future</v>
      </c>
      <c r="D113" t="str">
        <f ca="1">IFERROR(INDEX(exch_map[Exch],MATCH(rtd_data[[#This Row],[Group]],exch_map[Group],0)),"")</f>
        <v>ICE_L</v>
      </c>
      <c r="E113" s="11" t="str" cm="1">
        <f t="array" aca="1" ref="E113" ca="1">IFERROR(INDEX(_xlfn.ANCHORARRAY(contracts!$A$6),ROW()-ROW(rtd_data[#Headers]),2),"")</f>
        <v>Y</v>
      </c>
      <c r="F11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3" t="str">
        <f ca="1">IF(rtd_data[[#This Row],[Exch]]="","",IF(rtd_data[[#This Row],[Exch]]="ICE_L","ICE",rtd_data[[#This Row],[Exch]]))</f>
        <v>ICE</v>
      </c>
      <c r="I113" t="str">
        <f ca="1">IF(rtd_data[[#This Row],[Product]]="","",IFERROR(INDEX(exch_map[TT_Symbol],MATCH(rtd_data[[#This Row],[Group]],exch_map[Group],0))&amp;"",""))</f>
        <v>SO3</v>
      </c>
      <c r="J113" t="str">
        <f ca="1">IF(rtd_data[[#This Row],[Type]]="Future",PROPER(RIGHT(rtd_data[[#This Row],[Product]],5)),"")</f>
        <v>Dec26</v>
      </c>
    </row>
    <row r="114" spans="1:10" x14ac:dyDescent="0.25">
      <c r="A114" s="11" t="str" cm="1">
        <f t="array" aca="1" ref="A114" ca="1">IFERROR(INDEX(_xlfn.ANCHORARRAY(contracts!$A$6),ROW()-ROW(rtd_data[#Headers]),1),"")</f>
        <v>SO3 MAR27</v>
      </c>
      <c r="B1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4" t="str">
        <f ca="1">IF(rtd_data[[#This Row],[Product]]="","",IF(LEN(TRIM(rtd_data[[#This Row],[Product]]))-LEN(SUBSTITUTE(TRIM(rtd_data[[#This Row],[Product]])," ",""))&gt;=2,"Spread","Future"))</f>
        <v>Future</v>
      </c>
      <c r="D114" t="str">
        <f ca="1">IFERROR(INDEX(exch_map[Exch],MATCH(rtd_data[[#This Row],[Group]],exch_map[Group],0)),"")</f>
        <v>ICE_L</v>
      </c>
      <c r="E114" s="11" t="str" cm="1">
        <f t="array" aca="1" ref="E114" ca="1">IFERROR(INDEX(_xlfn.ANCHORARRAY(contracts!$A$6),ROW()-ROW(rtd_data[#Headers]),2),"")</f>
        <v>Y</v>
      </c>
      <c r="F11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4" t="str">
        <f ca="1">IF(rtd_data[[#This Row],[Exch]]="","",IF(rtd_data[[#This Row],[Exch]]="ICE_L","ICE",rtd_data[[#This Row],[Exch]]))</f>
        <v>ICE</v>
      </c>
      <c r="I114" t="str">
        <f ca="1">IF(rtd_data[[#This Row],[Product]]="","",IFERROR(INDEX(exch_map[TT_Symbol],MATCH(rtd_data[[#This Row],[Group]],exch_map[Group],0))&amp;"",""))</f>
        <v>SO3</v>
      </c>
      <c r="J114" t="str">
        <f ca="1">IF(rtd_data[[#This Row],[Type]]="Future",PROPER(RIGHT(rtd_data[[#This Row],[Product]],5)),"")</f>
        <v>Mar27</v>
      </c>
    </row>
    <row r="115" spans="1:10" x14ac:dyDescent="0.25">
      <c r="A115" s="11" t="str" cm="1">
        <f t="array" aca="1" ref="A115" ca="1">IFERROR(INDEX(_xlfn.ANCHORARRAY(contracts!$A$6),ROW()-ROW(rtd_data[#Headers]),1),"")</f>
        <v>SO3 JUN27</v>
      </c>
      <c r="B1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5" t="str">
        <f ca="1">IF(rtd_data[[#This Row],[Product]]="","",IF(LEN(TRIM(rtd_data[[#This Row],[Product]]))-LEN(SUBSTITUTE(TRIM(rtd_data[[#This Row],[Product]])," ",""))&gt;=2,"Spread","Future"))</f>
        <v>Future</v>
      </c>
      <c r="D115" t="str">
        <f ca="1">IFERROR(INDEX(exch_map[Exch],MATCH(rtd_data[[#This Row],[Group]],exch_map[Group],0)),"")</f>
        <v>ICE_L</v>
      </c>
      <c r="E115" s="11" t="str" cm="1">
        <f t="array" aca="1" ref="E115" ca="1">IFERROR(INDEX(_xlfn.ANCHORARRAY(contracts!$A$6),ROW()-ROW(rtd_data[#Headers]),2),"")</f>
        <v>Y</v>
      </c>
      <c r="F11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5" t="str">
        <f ca="1">IF(rtd_data[[#This Row],[Exch]]="","",IF(rtd_data[[#This Row],[Exch]]="ICE_L","ICE",rtd_data[[#This Row],[Exch]]))</f>
        <v>ICE</v>
      </c>
      <c r="I115" t="str">
        <f ca="1">IF(rtd_data[[#This Row],[Product]]="","",IFERROR(INDEX(exch_map[TT_Symbol],MATCH(rtd_data[[#This Row],[Group]],exch_map[Group],0))&amp;"",""))</f>
        <v>SO3</v>
      </c>
      <c r="J115" t="str">
        <f ca="1">IF(rtd_data[[#This Row],[Type]]="Future",PROPER(RIGHT(rtd_data[[#This Row],[Product]],5)),"")</f>
        <v>Jun27</v>
      </c>
    </row>
    <row r="116" spans="1:10" x14ac:dyDescent="0.25">
      <c r="A116" s="11" t="str" cm="1">
        <f t="array" aca="1" ref="A116" ca="1">IFERROR(INDEX(_xlfn.ANCHORARRAY(contracts!$A$6),ROW()-ROW(rtd_data[#Headers]),1),"")</f>
        <v>SO3 SEP27</v>
      </c>
      <c r="B1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6" t="str">
        <f ca="1">IF(rtd_data[[#This Row],[Product]]="","",IF(LEN(TRIM(rtd_data[[#This Row],[Product]]))-LEN(SUBSTITUTE(TRIM(rtd_data[[#This Row],[Product]])," ",""))&gt;=2,"Spread","Future"))</f>
        <v>Future</v>
      </c>
      <c r="D116" t="str">
        <f ca="1">IFERROR(INDEX(exch_map[Exch],MATCH(rtd_data[[#This Row],[Group]],exch_map[Group],0)),"")</f>
        <v>ICE_L</v>
      </c>
      <c r="E116" s="11" t="str" cm="1">
        <f t="array" aca="1" ref="E116" ca="1">IFERROR(INDEX(_xlfn.ANCHORARRAY(contracts!$A$6),ROW()-ROW(rtd_data[#Headers]),2),"")</f>
        <v>Y</v>
      </c>
      <c r="F11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6" t="str">
        <f ca="1">IF(rtd_data[[#This Row],[Exch]]="","",IF(rtd_data[[#This Row],[Exch]]="ICE_L","ICE",rtd_data[[#This Row],[Exch]]))</f>
        <v>ICE</v>
      </c>
      <c r="I116" t="str">
        <f ca="1">IF(rtd_data[[#This Row],[Product]]="","",IFERROR(INDEX(exch_map[TT_Symbol],MATCH(rtd_data[[#This Row],[Group]],exch_map[Group],0))&amp;"",""))</f>
        <v>SO3</v>
      </c>
      <c r="J116" t="str">
        <f ca="1">IF(rtd_data[[#This Row],[Type]]="Future",PROPER(RIGHT(rtd_data[[#This Row],[Product]],5)),"")</f>
        <v>Sep27</v>
      </c>
    </row>
    <row r="117" spans="1:10" x14ac:dyDescent="0.25">
      <c r="A117" s="11" t="str" cm="1">
        <f t="array" aca="1" ref="A117" ca="1">IFERROR(INDEX(_xlfn.ANCHORARRAY(contracts!$A$6),ROW()-ROW(rtd_data[#Headers]),1),"")</f>
        <v>SO3 DEC27</v>
      </c>
      <c r="B1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7" t="str">
        <f ca="1">IF(rtd_data[[#This Row],[Product]]="","",IF(LEN(TRIM(rtd_data[[#This Row],[Product]]))-LEN(SUBSTITUTE(TRIM(rtd_data[[#This Row],[Product]])," ",""))&gt;=2,"Spread","Future"))</f>
        <v>Future</v>
      </c>
      <c r="D117" t="str">
        <f ca="1">IFERROR(INDEX(exch_map[Exch],MATCH(rtd_data[[#This Row],[Group]],exch_map[Group],0)),"")</f>
        <v>ICE_L</v>
      </c>
      <c r="E117" s="11" t="str" cm="1">
        <f t="array" aca="1" ref="E117" ca="1">IFERROR(INDEX(_xlfn.ANCHORARRAY(contracts!$A$6),ROW()-ROW(rtd_data[#Headers]),2),"")</f>
        <v>Y</v>
      </c>
      <c r="F11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7" t="str">
        <f ca="1">IF(rtd_data[[#This Row],[Exch]]="","",IF(rtd_data[[#This Row],[Exch]]="ICE_L","ICE",rtd_data[[#This Row],[Exch]]))</f>
        <v>ICE</v>
      </c>
      <c r="I117" t="str">
        <f ca="1">IF(rtd_data[[#This Row],[Product]]="","",IFERROR(INDEX(exch_map[TT_Symbol],MATCH(rtd_data[[#This Row],[Group]],exch_map[Group],0))&amp;"",""))</f>
        <v>SO3</v>
      </c>
      <c r="J117" t="str">
        <f ca="1">IF(rtd_data[[#This Row],[Type]]="Future",PROPER(RIGHT(rtd_data[[#This Row],[Product]],5)),"")</f>
        <v>Dec27</v>
      </c>
    </row>
    <row r="118" spans="1:10" x14ac:dyDescent="0.25">
      <c r="A118" s="11" t="str" cm="1">
        <f t="array" aca="1" ref="A118" ca="1">IFERROR(INDEX(_xlfn.ANCHORARRAY(contracts!$A$6),ROW()-ROW(rtd_data[#Headers]),1),"")</f>
        <v>SO3 MAR28</v>
      </c>
      <c r="B1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8" t="str">
        <f ca="1">IF(rtd_data[[#This Row],[Product]]="","",IF(LEN(TRIM(rtd_data[[#This Row],[Product]]))-LEN(SUBSTITUTE(TRIM(rtd_data[[#This Row],[Product]])," ",""))&gt;=2,"Spread","Future"))</f>
        <v>Future</v>
      </c>
      <c r="D118" t="str">
        <f ca="1">IFERROR(INDEX(exch_map[Exch],MATCH(rtd_data[[#This Row],[Group]],exch_map[Group],0)),"")</f>
        <v>ICE_L</v>
      </c>
      <c r="E118" s="11" t="str" cm="1">
        <f t="array" aca="1" ref="E118" ca="1">IFERROR(INDEX(_xlfn.ANCHORARRAY(contracts!$A$6),ROW()-ROW(rtd_data[#Headers]),2),"")</f>
        <v>Y</v>
      </c>
      <c r="F11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8" t="str">
        <f ca="1">IF(rtd_data[[#This Row],[Exch]]="","",IF(rtd_data[[#This Row],[Exch]]="ICE_L","ICE",rtd_data[[#This Row],[Exch]]))</f>
        <v>ICE</v>
      </c>
      <c r="I118" t="str">
        <f ca="1">IF(rtd_data[[#This Row],[Product]]="","",IFERROR(INDEX(exch_map[TT_Symbol],MATCH(rtd_data[[#This Row],[Group]],exch_map[Group],0))&amp;"",""))</f>
        <v>SO3</v>
      </c>
      <c r="J118" t="str">
        <f ca="1">IF(rtd_data[[#This Row],[Type]]="Future",PROPER(RIGHT(rtd_data[[#This Row],[Product]],5)),"")</f>
        <v>Mar28</v>
      </c>
    </row>
    <row r="119" spans="1:10" x14ac:dyDescent="0.25">
      <c r="A119" s="11" t="str" cm="1">
        <f t="array" aca="1" ref="A119" ca="1">IFERROR(INDEX(_xlfn.ANCHORARRAY(contracts!$A$6),ROW()-ROW(rtd_data[#Headers]),1),"")</f>
        <v>SO3 JUN28</v>
      </c>
      <c r="B1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9" t="str">
        <f ca="1">IF(rtd_data[[#This Row],[Product]]="","",IF(LEN(TRIM(rtd_data[[#This Row],[Product]]))-LEN(SUBSTITUTE(TRIM(rtd_data[[#This Row],[Product]])," ",""))&gt;=2,"Spread","Future"))</f>
        <v>Future</v>
      </c>
      <c r="D119" t="str">
        <f ca="1">IFERROR(INDEX(exch_map[Exch],MATCH(rtd_data[[#This Row],[Group]],exch_map[Group],0)),"")</f>
        <v>ICE_L</v>
      </c>
      <c r="E119" s="11" t="str" cm="1">
        <f t="array" aca="1" ref="E119" ca="1">IFERROR(INDEX(_xlfn.ANCHORARRAY(contracts!$A$6),ROW()-ROW(rtd_data[#Headers]),2),"")</f>
        <v>Y</v>
      </c>
      <c r="F11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1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19" t="str">
        <f ca="1">IF(rtd_data[[#This Row],[Exch]]="","",IF(rtd_data[[#This Row],[Exch]]="ICE_L","ICE",rtd_data[[#This Row],[Exch]]))</f>
        <v>ICE</v>
      </c>
      <c r="I119" t="str">
        <f ca="1">IF(rtd_data[[#This Row],[Product]]="","",IFERROR(INDEX(exch_map[TT_Symbol],MATCH(rtd_data[[#This Row],[Group]],exch_map[Group],0))&amp;"",""))</f>
        <v>SO3</v>
      </c>
      <c r="J119" t="str">
        <f ca="1">IF(rtd_data[[#This Row],[Type]]="Future",PROPER(RIGHT(rtd_data[[#This Row],[Product]],5)),"")</f>
        <v>Jun28</v>
      </c>
    </row>
    <row r="120" spans="1:10" x14ac:dyDescent="0.25">
      <c r="A120" s="11" t="str" cm="1">
        <f t="array" aca="1" ref="A120" ca="1">IFERROR(INDEX(_xlfn.ANCHORARRAY(contracts!$A$6),ROW()-ROW(rtd_data[#Headers]),1),"")</f>
        <v>SO3 SEP28</v>
      </c>
      <c r="B1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0" t="str">
        <f ca="1">IF(rtd_data[[#This Row],[Product]]="","",IF(LEN(TRIM(rtd_data[[#This Row],[Product]]))-LEN(SUBSTITUTE(TRIM(rtd_data[[#This Row],[Product]])," ",""))&gt;=2,"Spread","Future"))</f>
        <v>Future</v>
      </c>
      <c r="D120" t="str">
        <f ca="1">IFERROR(INDEX(exch_map[Exch],MATCH(rtd_data[[#This Row],[Group]],exch_map[Group],0)),"")</f>
        <v>ICE_L</v>
      </c>
      <c r="E120" s="11" t="str" cm="1">
        <f t="array" aca="1" ref="E120" ca="1">IFERROR(INDEX(_xlfn.ANCHORARRAY(contracts!$A$6),ROW()-ROW(rtd_data[#Headers]),2),"")</f>
        <v>Y</v>
      </c>
      <c r="F12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0" t="str">
        <f ca="1">IF(rtd_data[[#This Row],[Exch]]="","",IF(rtd_data[[#This Row],[Exch]]="ICE_L","ICE",rtd_data[[#This Row],[Exch]]))</f>
        <v>ICE</v>
      </c>
      <c r="I120" t="str">
        <f ca="1">IF(rtd_data[[#This Row],[Product]]="","",IFERROR(INDEX(exch_map[TT_Symbol],MATCH(rtd_data[[#This Row],[Group]],exch_map[Group],0))&amp;"",""))</f>
        <v>SO3</v>
      </c>
      <c r="J120" t="str">
        <f ca="1">IF(rtd_data[[#This Row],[Type]]="Future",PROPER(RIGHT(rtd_data[[#This Row],[Product]],5)),"")</f>
        <v>Sep28</v>
      </c>
    </row>
    <row r="121" spans="1:10" x14ac:dyDescent="0.25">
      <c r="A121" s="11" t="str" cm="1">
        <f t="array" aca="1" ref="A121" ca="1">IFERROR(INDEX(_xlfn.ANCHORARRAY(contracts!$A$6),ROW()-ROW(rtd_data[#Headers]),1),"")</f>
        <v>SO3 DEC28</v>
      </c>
      <c r="B1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1" t="str">
        <f ca="1">IF(rtd_data[[#This Row],[Product]]="","",IF(LEN(TRIM(rtd_data[[#This Row],[Product]]))-LEN(SUBSTITUTE(TRIM(rtd_data[[#This Row],[Product]])," ",""))&gt;=2,"Spread","Future"))</f>
        <v>Future</v>
      </c>
      <c r="D121" t="str">
        <f ca="1">IFERROR(INDEX(exch_map[Exch],MATCH(rtd_data[[#This Row],[Group]],exch_map[Group],0)),"")</f>
        <v>ICE_L</v>
      </c>
      <c r="E121" s="11" t="str" cm="1">
        <f t="array" aca="1" ref="E121" ca="1">IFERROR(INDEX(_xlfn.ANCHORARRAY(contracts!$A$6),ROW()-ROW(rtd_data[#Headers]),2),"")</f>
        <v>Y</v>
      </c>
      <c r="F12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1" t="str">
        <f ca="1">IF(rtd_data[[#This Row],[Exch]]="","",IF(rtd_data[[#This Row],[Exch]]="ICE_L","ICE",rtd_data[[#This Row],[Exch]]))</f>
        <v>ICE</v>
      </c>
      <c r="I121" t="str">
        <f ca="1">IF(rtd_data[[#This Row],[Product]]="","",IFERROR(INDEX(exch_map[TT_Symbol],MATCH(rtd_data[[#This Row],[Group]],exch_map[Group],0))&amp;"",""))</f>
        <v>SO3</v>
      </c>
      <c r="J121" t="str">
        <f ca="1">IF(rtd_data[[#This Row],[Type]]="Future",PROPER(RIGHT(rtd_data[[#This Row],[Product]],5)),"")</f>
        <v>Dec28</v>
      </c>
    </row>
    <row r="122" spans="1:10" x14ac:dyDescent="0.25">
      <c r="A122" s="11" t="str" cm="1">
        <f t="array" aca="1" ref="A122" ca="1">IFERROR(INDEX(_xlfn.ANCHORARRAY(contracts!$A$6),ROW()-ROW(rtd_data[#Headers]),1),"")</f>
        <v>SO3 MAR29</v>
      </c>
      <c r="B1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2" t="str">
        <f ca="1">IF(rtd_data[[#This Row],[Product]]="","",IF(LEN(TRIM(rtd_data[[#This Row],[Product]]))-LEN(SUBSTITUTE(TRIM(rtd_data[[#This Row],[Product]])," ",""))&gt;=2,"Spread","Future"))</f>
        <v>Future</v>
      </c>
      <c r="D122" t="str">
        <f ca="1">IFERROR(INDEX(exch_map[Exch],MATCH(rtd_data[[#This Row],[Group]],exch_map[Group],0)),"")</f>
        <v>ICE_L</v>
      </c>
      <c r="E122" s="11" t="str" cm="1">
        <f t="array" aca="1" ref="E122" ca="1">IFERROR(INDEX(_xlfn.ANCHORARRAY(contracts!$A$6),ROW()-ROW(rtd_data[#Headers]),2),"")</f>
        <v>Y</v>
      </c>
      <c r="F12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2" t="str">
        <f ca="1">IF(rtd_data[[#This Row],[Exch]]="","",IF(rtd_data[[#This Row],[Exch]]="ICE_L","ICE",rtd_data[[#This Row],[Exch]]))</f>
        <v>ICE</v>
      </c>
      <c r="I122" t="str">
        <f ca="1">IF(rtd_data[[#This Row],[Product]]="","",IFERROR(INDEX(exch_map[TT_Symbol],MATCH(rtd_data[[#This Row],[Group]],exch_map[Group],0))&amp;"",""))</f>
        <v>SO3</v>
      </c>
      <c r="J122" t="str">
        <f ca="1">IF(rtd_data[[#This Row],[Type]]="Future",PROPER(RIGHT(rtd_data[[#This Row],[Product]],5)),"")</f>
        <v>Mar29</v>
      </c>
    </row>
    <row r="123" spans="1:10" x14ac:dyDescent="0.25">
      <c r="A123" s="11" t="str" cm="1">
        <f t="array" aca="1" ref="A123" ca="1">IFERROR(INDEX(_xlfn.ANCHORARRAY(contracts!$A$6),ROW()-ROW(rtd_data[#Headers]),1),"")</f>
        <v>SO3 JUN29</v>
      </c>
      <c r="B1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3" t="str">
        <f ca="1">IF(rtd_data[[#This Row],[Product]]="","",IF(LEN(TRIM(rtd_data[[#This Row],[Product]]))-LEN(SUBSTITUTE(TRIM(rtd_data[[#This Row],[Product]])," ",""))&gt;=2,"Spread","Future"))</f>
        <v>Future</v>
      </c>
      <c r="D123" t="str">
        <f ca="1">IFERROR(INDEX(exch_map[Exch],MATCH(rtd_data[[#This Row],[Group]],exch_map[Group],0)),"")</f>
        <v>ICE_L</v>
      </c>
      <c r="E123" s="11" t="str" cm="1">
        <f t="array" aca="1" ref="E123" ca="1">IFERROR(INDEX(_xlfn.ANCHORARRAY(contracts!$A$6),ROW()-ROW(rtd_data[#Headers]),2),"")</f>
        <v>Y</v>
      </c>
      <c r="F12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3" t="str">
        <f ca="1">IF(rtd_data[[#This Row],[Exch]]="","",IF(rtd_data[[#This Row],[Exch]]="ICE_L","ICE",rtd_data[[#This Row],[Exch]]))</f>
        <v>ICE</v>
      </c>
      <c r="I123" t="str">
        <f ca="1">IF(rtd_data[[#This Row],[Product]]="","",IFERROR(INDEX(exch_map[TT_Symbol],MATCH(rtd_data[[#This Row],[Group]],exch_map[Group],0))&amp;"",""))</f>
        <v>SO3</v>
      </c>
      <c r="J123" t="str">
        <f ca="1">IF(rtd_data[[#This Row],[Type]]="Future",PROPER(RIGHT(rtd_data[[#This Row],[Product]],5)),"")</f>
        <v>Jun29</v>
      </c>
    </row>
    <row r="124" spans="1:10" x14ac:dyDescent="0.25">
      <c r="A124" s="11" t="str" cm="1">
        <f t="array" aca="1" ref="A124" ca="1">IFERROR(INDEX(_xlfn.ANCHORARRAY(contracts!$A$6),ROW()-ROW(rtd_data[#Headers]),1),"")</f>
        <v>SO3 SEP29</v>
      </c>
      <c r="B1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4" t="str">
        <f ca="1">IF(rtd_data[[#This Row],[Product]]="","",IF(LEN(TRIM(rtd_data[[#This Row],[Product]]))-LEN(SUBSTITUTE(TRIM(rtd_data[[#This Row],[Product]])," ",""))&gt;=2,"Spread","Future"))</f>
        <v>Future</v>
      </c>
      <c r="D124" t="str">
        <f ca="1">IFERROR(INDEX(exch_map[Exch],MATCH(rtd_data[[#This Row],[Group]],exch_map[Group],0)),"")</f>
        <v>ICE_L</v>
      </c>
      <c r="E124" s="11" t="str" cm="1">
        <f t="array" aca="1" ref="E124" ca="1">IFERROR(INDEX(_xlfn.ANCHORARRAY(contracts!$A$6),ROW()-ROW(rtd_data[#Headers]),2),"")</f>
        <v>Y</v>
      </c>
      <c r="F12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4" t="str">
        <f ca="1">IF(rtd_data[[#This Row],[Exch]]="","",IF(rtd_data[[#This Row],[Exch]]="ICE_L","ICE",rtd_data[[#This Row],[Exch]]))</f>
        <v>ICE</v>
      </c>
      <c r="I124" t="str">
        <f ca="1">IF(rtd_data[[#This Row],[Product]]="","",IFERROR(INDEX(exch_map[TT_Symbol],MATCH(rtd_data[[#This Row],[Group]],exch_map[Group],0))&amp;"",""))</f>
        <v>SO3</v>
      </c>
      <c r="J124" t="str">
        <f ca="1">IF(rtd_data[[#This Row],[Type]]="Future",PROPER(RIGHT(rtd_data[[#This Row],[Product]],5)),"")</f>
        <v>Sep29</v>
      </c>
    </row>
    <row r="125" spans="1:10" x14ac:dyDescent="0.25">
      <c r="A125" s="11" t="str" cm="1">
        <f t="array" aca="1" ref="A125" ca="1">IFERROR(INDEX(_xlfn.ANCHORARRAY(contracts!$A$6),ROW()-ROW(rtd_data[#Headers]),1),"")</f>
        <v>SO3 DEC29</v>
      </c>
      <c r="B1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5" t="str">
        <f ca="1">IF(rtd_data[[#This Row],[Product]]="","",IF(LEN(TRIM(rtd_data[[#This Row],[Product]]))-LEN(SUBSTITUTE(TRIM(rtd_data[[#This Row],[Product]])," ",""))&gt;=2,"Spread","Future"))</f>
        <v>Future</v>
      </c>
      <c r="D125" t="str">
        <f ca="1">IFERROR(INDEX(exch_map[Exch],MATCH(rtd_data[[#This Row],[Group]],exch_map[Group],0)),"")</f>
        <v>ICE_L</v>
      </c>
      <c r="E125" s="11" t="str" cm="1">
        <f t="array" aca="1" ref="E125" ca="1">IFERROR(INDEX(_xlfn.ANCHORARRAY(contracts!$A$6),ROW()-ROW(rtd_data[#Headers]),2),"")</f>
        <v>Y</v>
      </c>
      <c r="F12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5" t="str">
        <f ca="1">IF(rtd_data[[#This Row],[Exch]]="","",IF(rtd_data[[#This Row],[Exch]]="ICE_L","ICE",rtd_data[[#This Row],[Exch]]))</f>
        <v>ICE</v>
      </c>
      <c r="I125" t="str">
        <f ca="1">IF(rtd_data[[#This Row],[Product]]="","",IFERROR(INDEX(exch_map[TT_Symbol],MATCH(rtd_data[[#This Row],[Group]],exch_map[Group],0))&amp;"",""))</f>
        <v>SO3</v>
      </c>
      <c r="J125" t="str">
        <f ca="1">IF(rtd_data[[#This Row],[Type]]="Future",PROPER(RIGHT(rtd_data[[#This Row],[Product]],5)),"")</f>
        <v>Dec29</v>
      </c>
    </row>
    <row r="126" spans="1:10" x14ac:dyDescent="0.25">
      <c r="A126" s="11" t="str" cm="1">
        <f t="array" aca="1" ref="A126" ca="1">IFERROR(INDEX(_xlfn.ANCHORARRAY(contracts!$A$6),ROW()-ROW(rtd_data[#Headers]),1),"")</f>
        <v>SO3 MAR30</v>
      </c>
      <c r="B1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6" t="str">
        <f ca="1">IF(rtd_data[[#This Row],[Product]]="","",IF(LEN(TRIM(rtd_data[[#This Row],[Product]]))-LEN(SUBSTITUTE(TRIM(rtd_data[[#This Row],[Product]])," ",""))&gt;=2,"Spread","Future"))</f>
        <v>Future</v>
      </c>
      <c r="D126" t="str">
        <f ca="1">IFERROR(INDEX(exch_map[Exch],MATCH(rtd_data[[#This Row],[Group]],exch_map[Group],0)),"")</f>
        <v>ICE_L</v>
      </c>
      <c r="E126" s="11" t="str" cm="1">
        <f t="array" aca="1" ref="E126" ca="1">IFERROR(INDEX(_xlfn.ANCHORARRAY(contracts!$A$6),ROW()-ROW(rtd_data[#Headers]),2),"")</f>
        <v>Y</v>
      </c>
      <c r="F12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6" t="str">
        <f ca="1">IF(rtd_data[[#This Row],[Exch]]="","",IF(rtd_data[[#This Row],[Exch]]="ICE_L","ICE",rtd_data[[#This Row],[Exch]]))</f>
        <v>ICE</v>
      </c>
      <c r="I126" t="str">
        <f ca="1">IF(rtd_data[[#This Row],[Product]]="","",IFERROR(INDEX(exch_map[TT_Symbol],MATCH(rtd_data[[#This Row],[Group]],exch_map[Group],0))&amp;"",""))</f>
        <v>SO3</v>
      </c>
      <c r="J126" t="str">
        <f ca="1">IF(rtd_data[[#This Row],[Type]]="Future",PROPER(RIGHT(rtd_data[[#This Row],[Product]],5)),"")</f>
        <v>Mar30</v>
      </c>
    </row>
    <row r="127" spans="1:10" x14ac:dyDescent="0.25">
      <c r="A127" s="11" t="str" cm="1">
        <f t="array" aca="1" ref="A127" ca="1">IFERROR(INDEX(_xlfn.ANCHORARRAY(contracts!$A$6),ROW()-ROW(rtd_data[#Headers]),1),"")</f>
        <v>SO3 JUN30</v>
      </c>
      <c r="B1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7" t="str">
        <f ca="1">IF(rtd_data[[#This Row],[Product]]="","",IF(LEN(TRIM(rtd_data[[#This Row],[Product]]))-LEN(SUBSTITUTE(TRIM(rtd_data[[#This Row],[Product]])," ",""))&gt;=2,"Spread","Future"))</f>
        <v>Future</v>
      </c>
      <c r="D127" t="str">
        <f ca="1">IFERROR(INDEX(exch_map[Exch],MATCH(rtd_data[[#This Row],[Group]],exch_map[Group],0)),"")</f>
        <v>ICE_L</v>
      </c>
      <c r="E127" s="11" t="str" cm="1">
        <f t="array" aca="1" ref="E127" ca="1">IFERROR(INDEX(_xlfn.ANCHORARRAY(contracts!$A$6),ROW()-ROW(rtd_data[#Headers]),2),"")</f>
        <v>Y</v>
      </c>
      <c r="F12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7" t="str">
        <f ca="1">IF(rtd_data[[#This Row],[Exch]]="","",IF(rtd_data[[#This Row],[Exch]]="ICE_L","ICE",rtd_data[[#This Row],[Exch]]))</f>
        <v>ICE</v>
      </c>
      <c r="I127" t="str">
        <f ca="1">IF(rtd_data[[#This Row],[Product]]="","",IFERROR(INDEX(exch_map[TT_Symbol],MATCH(rtd_data[[#This Row],[Group]],exch_map[Group],0))&amp;"",""))</f>
        <v>SO3</v>
      </c>
      <c r="J127" t="str">
        <f ca="1">IF(rtd_data[[#This Row],[Type]]="Future",PROPER(RIGHT(rtd_data[[#This Row],[Product]],5)),"")</f>
        <v>Jun30</v>
      </c>
    </row>
    <row r="128" spans="1:10" x14ac:dyDescent="0.25">
      <c r="A128" s="11" t="str" cm="1">
        <f t="array" aca="1" ref="A128" ca="1">IFERROR(INDEX(_xlfn.ANCHORARRAY(contracts!$A$6),ROW()-ROW(rtd_data[#Headers]),1),"")</f>
        <v>SO3 SEP30</v>
      </c>
      <c r="B1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8" t="str">
        <f ca="1">IF(rtd_data[[#This Row],[Product]]="","",IF(LEN(TRIM(rtd_data[[#This Row],[Product]]))-LEN(SUBSTITUTE(TRIM(rtd_data[[#This Row],[Product]])," ",""))&gt;=2,"Spread","Future"))</f>
        <v>Future</v>
      </c>
      <c r="D128" t="str">
        <f ca="1">IFERROR(INDEX(exch_map[Exch],MATCH(rtd_data[[#This Row],[Group]],exch_map[Group],0)),"")</f>
        <v>ICE_L</v>
      </c>
      <c r="E128" s="11" t="str" cm="1">
        <f t="array" aca="1" ref="E128" ca="1">IFERROR(INDEX(_xlfn.ANCHORARRAY(contracts!$A$6),ROW()-ROW(rtd_data[#Headers]),2),"")</f>
        <v>Y</v>
      </c>
      <c r="F12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8" t="str">
        <f ca="1">IF(rtd_data[[#This Row],[Exch]]="","",IF(rtd_data[[#This Row],[Exch]]="ICE_L","ICE",rtd_data[[#This Row],[Exch]]))</f>
        <v>ICE</v>
      </c>
      <c r="I128" t="str">
        <f ca="1">IF(rtd_data[[#This Row],[Product]]="","",IFERROR(INDEX(exch_map[TT_Symbol],MATCH(rtd_data[[#This Row],[Group]],exch_map[Group],0))&amp;"",""))</f>
        <v>SO3</v>
      </c>
      <c r="J128" t="str">
        <f ca="1">IF(rtd_data[[#This Row],[Type]]="Future",PROPER(RIGHT(rtd_data[[#This Row],[Product]],5)),"")</f>
        <v>Sep30</v>
      </c>
    </row>
    <row r="129" spans="1:10" x14ac:dyDescent="0.25">
      <c r="A129" s="11" t="str" cm="1">
        <f t="array" aca="1" ref="A129" ca="1">IFERROR(INDEX(_xlfn.ANCHORARRAY(contracts!$A$6),ROW()-ROW(rtd_data[#Headers]),1),"")</f>
        <v>SO3 DEC30</v>
      </c>
      <c r="B1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9" t="str">
        <f ca="1">IF(rtd_data[[#This Row],[Product]]="","",IF(LEN(TRIM(rtd_data[[#This Row],[Product]]))-LEN(SUBSTITUTE(TRIM(rtd_data[[#This Row],[Product]])," ",""))&gt;=2,"Spread","Future"))</f>
        <v>Future</v>
      </c>
      <c r="D129" t="str">
        <f ca="1">IFERROR(INDEX(exch_map[Exch],MATCH(rtd_data[[#This Row],[Group]],exch_map[Group],0)),"")</f>
        <v>ICE_L</v>
      </c>
      <c r="E129" s="11" t="str" cm="1">
        <f t="array" aca="1" ref="E129" ca="1">IFERROR(INDEX(_xlfn.ANCHORARRAY(contracts!$A$6),ROW()-ROW(rtd_data[#Headers]),2),"")</f>
        <v>Y</v>
      </c>
      <c r="F12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2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29" t="str">
        <f ca="1">IF(rtd_data[[#This Row],[Exch]]="","",IF(rtd_data[[#This Row],[Exch]]="ICE_L","ICE",rtd_data[[#This Row],[Exch]]))</f>
        <v>ICE</v>
      </c>
      <c r="I129" t="str">
        <f ca="1">IF(rtd_data[[#This Row],[Product]]="","",IFERROR(INDEX(exch_map[TT_Symbol],MATCH(rtd_data[[#This Row],[Group]],exch_map[Group],0))&amp;"",""))</f>
        <v>SO3</v>
      </c>
      <c r="J129" t="str">
        <f ca="1">IF(rtd_data[[#This Row],[Type]]="Future",PROPER(RIGHT(rtd_data[[#This Row],[Product]],5)),"")</f>
        <v>Dec30</v>
      </c>
    </row>
    <row r="130" spans="1:10" x14ac:dyDescent="0.25">
      <c r="A130" s="11" t="str" cm="1">
        <f t="array" aca="1" ref="A130" ca="1">IFERROR(INDEX(_xlfn.ANCHORARRAY(contracts!$A$6),ROW()-ROW(rtd_data[#Headers]),1),"")</f>
        <v>SO3 MAR31</v>
      </c>
      <c r="B1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0" t="str">
        <f ca="1">IF(rtd_data[[#This Row],[Product]]="","",IF(LEN(TRIM(rtd_data[[#This Row],[Product]]))-LEN(SUBSTITUTE(TRIM(rtd_data[[#This Row],[Product]])," ",""))&gt;=2,"Spread","Future"))</f>
        <v>Future</v>
      </c>
      <c r="D130" t="str">
        <f ca="1">IFERROR(INDEX(exch_map[Exch],MATCH(rtd_data[[#This Row],[Group]],exch_map[Group],0)),"")</f>
        <v>ICE_L</v>
      </c>
      <c r="E130" s="11" t="str" cm="1">
        <f t="array" aca="1" ref="E130" ca="1">IFERROR(INDEX(_xlfn.ANCHORARRAY(contracts!$A$6),ROW()-ROW(rtd_data[#Headers]),2),"")</f>
        <v>Y</v>
      </c>
      <c r="F13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0" t="str">
        <f ca="1">IF(rtd_data[[#This Row],[Exch]]="","",IF(rtd_data[[#This Row],[Exch]]="ICE_L","ICE",rtd_data[[#This Row],[Exch]]))</f>
        <v>ICE</v>
      </c>
      <c r="I130" t="str">
        <f ca="1">IF(rtd_data[[#This Row],[Product]]="","",IFERROR(INDEX(exch_map[TT_Symbol],MATCH(rtd_data[[#This Row],[Group]],exch_map[Group],0))&amp;"",""))</f>
        <v>SO3</v>
      </c>
      <c r="J130" t="str">
        <f ca="1">IF(rtd_data[[#This Row],[Type]]="Future",PROPER(RIGHT(rtd_data[[#This Row],[Product]],5)),"")</f>
        <v>Mar31</v>
      </c>
    </row>
    <row r="131" spans="1:10" x14ac:dyDescent="0.25">
      <c r="A131" s="11" t="str" cm="1">
        <f t="array" aca="1" ref="A131" ca="1">IFERROR(INDEX(_xlfn.ANCHORARRAY(contracts!$A$6),ROW()-ROW(rtd_data[#Headers]),1),"")</f>
        <v>SO3 JUN31</v>
      </c>
      <c r="B1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1" t="str">
        <f ca="1">IF(rtd_data[[#This Row],[Product]]="","",IF(LEN(TRIM(rtd_data[[#This Row],[Product]]))-LEN(SUBSTITUTE(TRIM(rtd_data[[#This Row],[Product]])," ",""))&gt;=2,"Spread","Future"))</f>
        <v>Future</v>
      </c>
      <c r="D131" t="str">
        <f ca="1">IFERROR(INDEX(exch_map[Exch],MATCH(rtd_data[[#This Row],[Group]],exch_map[Group],0)),"")</f>
        <v>ICE_L</v>
      </c>
      <c r="E131" s="11" t="str" cm="1">
        <f t="array" aca="1" ref="E131" ca="1">IFERROR(INDEX(_xlfn.ANCHORARRAY(contracts!$A$6),ROW()-ROW(rtd_data[#Headers]),2),"")</f>
        <v>Y</v>
      </c>
      <c r="F13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1" t="str">
        <f ca="1">IF(rtd_data[[#This Row],[Exch]]="","",IF(rtd_data[[#This Row],[Exch]]="ICE_L","ICE",rtd_data[[#This Row],[Exch]]))</f>
        <v>ICE</v>
      </c>
      <c r="I131" t="str">
        <f ca="1">IF(rtd_data[[#This Row],[Product]]="","",IFERROR(INDEX(exch_map[TT_Symbol],MATCH(rtd_data[[#This Row],[Group]],exch_map[Group],0))&amp;"",""))</f>
        <v>SO3</v>
      </c>
      <c r="J131" t="str">
        <f ca="1">IF(rtd_data[[#This Row],[Type]]="Future",PROPER(RIGHT(rtd_data[[#This Row],[Product]],5)),"")</f>
        <v>Jun31</v>
      </c>
    </row>
    <row r="132" spans="1:10" x14ac:dyDescent="0.25">
      <c r="A132" s="11" t="str" cm="1">
        <f t="array" aca="1" ref="A132" ca="1">IFERROR(INDEX(_xlfn.ANCHORARRAY(contracts!$A$6),ROW()-ROW(rtd_data[#Headers]),1),"")</f>
        <v>SO3 SEP31</v>
      </c>
      <c r="B1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2" t="str">
        <f ca="1">IF(rtd_data[[#This Row],[Product]]="","",IF(LEN(TRIM(rtd_data[[#This Row],[Product]]))-LEN(SUBSTITUTE(TRIM(rtd_data[[#This Row],[Product]])," ",""))&gt;=2,"Spread","Future"))</f>
        <v>Future</v>
      </c>
      <c r="D132" t="str">
        <f ca="1">IFERROR(INDEX(exch_map[Exch],MATCH(rtd_data[[#This Row],[Group]],exch_map[Group],0)),"")</f>
        <v>ICE_L</v>
      </c>
      <c r="E132" s="11" t="str" cm="1">
        <f t="array" aca="1" ref="E132" ca="1">IFERROR(INDEX(_xlfn.ANCHORARRAY(contracts!$A$6),ROW()-ROW(rtd_data[#Headers]),2),"")</f>
        <v>Y</v>
      </c>
      <c r="F13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2" t="str">
        <f ca="1">IF(rtd_data[[#This Row],[Exch]]="","",IF(rtd_data[[#This Row],[Exch]]="ICE_L","ICE",rtd_data[[#This Row],[Exch]]))</f>
        <v>ICE</v>
      </c>
      <c r="I132" t="str">
        <f ca="1">IF(rtd_data[[#This Row],[Product]]="","",IFERROR(INDEX(exch_map[TT_Symbol],MATCH(rtd_data[[#This Row],[Group]],exch_map[Group],0))&amp;"",""))</f>
        <v>SO3</v>
      </c>
      <c r="J132" t="str">
        <f ca="1">IF(rtd_data[[#This Row],[Type]]="Future",PROPER(RIGHT(rtd_data[[#This Row],[Product]],5)),"")</f>
        <v>Sep31</v>
      </c>
    </row>
    <row r="133" spans="1:10" x14ac:dyDescent="0.25">
      <c r="A133" s="11" t="str" cm="1">
        <f t="array" aca="1" ref="A133" ca="1">IFERROR(INDEX(_xlfn.ANCHORARRAY(contracts!$A$6),ROW()-ROW(rtd_data[#Headers]),1),"")</f>
        <v>SO3 DEC31</v>
      </c>
      <c r="B1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3" t="str">
        <f ca="1">IF(rtd_data[[#This Row],[Product]]="","",IF(LEN(TRIM(rtd_data[[#This Row],[Product]]))-LEN(SUBSTITUTE(TRIM(rtd_data[[#This Row],[Product]])," ",""))&gt;=2,"Spread","Future"))</f>
        <v>Future</v>
      </c>
      <c r="D133" t="str">
        <f ca="1">IFERROR(INDEX(exch_map[Exch],MATCH(rtd_data[[#This Row],[Group]],exch_map[Group],0)),"")</f>
        <v>ICE_L</v>
      </c>
      <c r="E133" s="11" t="str" cm="1">
        <f t="array" aca="1" ref="E133" ca="1">IFERROR(INDEX(_xlfn.ANCHORARRAY(contracts!$A$6),ROW()-ROW(rtd_data[#Headers]),2),"")</f>
        <v>Y</v>
      </c>
      <c r="F13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3" t="str">
        <f ca="1">IF(rtd_data[[#This Row],[Exch]]="","",IF(rtd_data[[#This Row],[Exch]]="ICE_L","ICE",rtd_data[[#This Row],[Exch]]))</f>
        <v>ICE</v>
      </c>
      <c r="I133" t="str">
        <f ca="1">IF(rtd_data[[#This Row],[Product]]="","",IFERROR(INDEX(exch_map[TT_Symbol],MATCH(rtd_data[[#This Row],[Group]],exch_map[Group],0))&amp;"",""))</f>
        <v>SO3</v>
      </c>
      <c r="J133" t="str">
        <f ca="1">IF(rtd_data[[#This Row],[Type]]="Future",PROPER(RIGHT(rtd_data[[#This Row],[Product]],5)),"")</f>
        <v>Dec31</v>
      </c>
    </row>
    <row r="134" spans="1:10" x14ac:dyDescent="0.25">
      <c r="A134" s="11" t="str" cm="1">
        <f t="array" aca="1" ref="A134" ca="1">IFERROR(INDEX(_xlfn.ANCHORARRAY(contracts!$A$6),ROW()-ROW(rtd_data[#Headers]),1),"")</f>
        <v>SO3 MAR32</v>
      </c>
      <c r="B1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4" t="str">
        <f ca="1">IF(rtd_data[[#This Row],[Product]]="","",IF(LEN(TRIM(rtd_data[[#This Row],[Product]]))-LEN(SUBSTITUTE(TRIM(rtd_data[[#This Row],[Product]])," ",""))&gt;=2,"Spread","Future"))</f>
        <v>Future</v>
      </c>
      <c r="D134" t="str">
        <f ca="1">IFERROR(INDEX(exch_map[Exch],MATCH(rtd_data[[#This Row],[Group]],exch_map[Group],0)),"")</f>
        <v>ICE_L</v>
      </c>
      <c r="E134" s="11" t="str" cm="1">
        <f t="array" aca="1" ref="E134" ca="1">IFERROR(INDEX(_xlfn.ANCHORARRAY(contracts!$A$6),ROW()-ROW(rtd_data[#Headers]),2),"")</f>
        <v>Y</v>
      </c>
      <c r="F13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4" t="str">
        <f ca="1">IF(rtd_data[[#This Row],[Exch]]="","",IF(rtd_data[[#This Row],[Exch]]="ICE_L","ICE",rtd_data[[#This Row],[Exch]]))</f>
        <v>ICE</v>
      </c>
      <c r="I134" t="str">
        <f ca="1">IF(rtd_data[[#This Row],[Product]]="","",IFERROR(INDEX(exch_map[TT_Symbol],MATCH(rtd_data[[#This Row],[Group]],exch_map[Group],0))&amp;"",""))</f>
        <v>SO3</v>
      </c>
      <c r="J134" t="str">
        <f ca="1">IF(rtd_data[[#This Row],[Type]]="Future",PROPER(RIGHT(rtd_data[[#This Row],[Product]],5)),"")</f>
        <v>Mar32</v>
      </c>
    </row>
    <row r="135" spans="1:10" x14ac:dyDescent="0.25">
      <c r="A135" s="11" t="str" cm="1">
        <f t="array" aca="1" ref="A135" ca="1">IFERROR(INDEX(_xlfn.ANCHORARRAY(contracts!$A$6),ROW()-ROW(rtd_data[#Headers]),1),"")</f>
        <v>SO3 JUN32</v>
      </c>
      <c r="B1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5" t="str">
        <f ca="1">IF(rtd_data[[#This Row],[Product]]="","",IF(LEN(TRIM(rtd_data[[#This Row],[Product]]))-LEN(SUBSTITUTE(TRIM(rtd_data[[#This Row],[Product]])," ",""))&gt;=2,"Spread","Future"))</f>
        <v>Future</v>
      </c>
      <c r="D135" t="str">
        <f ca="1">IFERROR(INDEX(exch_map[Exch],MATCH(rtd_data[[#This Row],[Group]],exch_map[Group],0)),"")</f>
        <v>ICE_L</v>
      </c>
      <c r="E135" s="11" t="str" cm="1">
        <f t="array" aca="1" ref="E135" ca="1">IFERROR(INDEX(_xlfn.ANCHORARRAY(contracts!$A$6),ROW()-ROW(rtd_data[#Headers]),2),"")</f>
        <v>Y</v>
      </c>
      <c r="F13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5" t="str">
        <f ca="1">IF(rtd_data[[#This Row],[Exch]]="","",IF(rtd_data[[#This Row],[Exch]]="ICE_L","ICE",rtd_data[[#This Row],[Exch]]))</f>
        <v>ICE</v>
      </c>
      <c r="I135" t="str">
        <f ca="1">IF(rtd_data[[#This Row],[Product]]="","",IFERROR(INDEX(exch_map[TT_Symbol],MATCH(rtd_data[[#This Row],[Group]],exch_map[Group],0))&amp;"",""))</f>
        <v>SO3</v>
      </c>
      <c r="J135" t="str">
        <f ca="1">IF(rtd_data[[#This Row],[Type]]="Future",PROPER(RIGHT(rtd_data[[#This Row],[Product]],5)),"")</f>
        <v>Jun32</v>
      </c>
    </row>
    <row r="136" spans="1:10" x14ac:dyDescent="0.25">
      <c r="A136" s="11" t="str" cm="1">
        <f t="array" aca="1" ref="A136" ca="1">IFERROR(INDEX(_xlfn.ANCHORARRAY(contracts!$A$6),ROW()-ROW(rtd_data[#Headers]),1),"")</f>
        <v>SO3 SEP32</v>
      </c>
      <c r="B1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6" t="str">
        <f ca="1">IF(rtd_data[[#This Row],[Product]]="","",IF(LEN(TRIM(rtd_data[[#This Row],[Product]]))-LEN(SUBSTITUTE(TRIM(rtd_data[[#This Row],[Product]])," ",""))&gt;=2,"Spread","Future"))</f>
        <v>Future</v>
      </c>
      <c r="D136" t="str">
        <f ca="1">IFERROR(INDEX(exch_map[Exch],MATCH(rtd_data[[#This Row],[Group]],exch_map[Group],0)),"")</f>
        <v>ICE_L</v>
      </c>
      <c r="E136" s="11" t="str" cm="1">
        <f t="array" aca="1" ref="E136" ca="1">IFERROR(INDEX(_xlfn.ANCHORARRAY(contracts!$A$6),ROW()-ROW(rtd_data[#Headers]),2),"")</f>
        <v>Y</v>
      </c>
      <c r="F13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6" t="str">
        <f ca="1">IF(rtd_data[[#This Row],[Exch]]="","",IF(rtd_data[[#This Row],[Exch]]="ICE_L","ICE",rtd_data[[#This Row],[Exch]]))</f>
        <v>ICE</v>
      </c>
      <c r="I136" t="str">
        <f ca="1">IF(rtd_data[[#This Row],[Product]]="","",IFERROR(INDEX(exch_map[TT_Symbol],MATCH(rtd_data[[#This Row],[Group]],exch_map[Group],0))&amp;"",""))</f>
        <v>SO3</v>
      </c>
      <c r="J136" t="str">
        <f ca="1">IF(rtd_data[[#This Row],[Type]]="Future",PROPER(RIGHT(rtd_data[[#This Row],[Product]],5)),"")</f>
        <v>Sep32</v>
      </c>
    </row>
    <row r="137" spans="1:10" x14ac:dyDescent="0.25">
      <c r="A137" s="11" t="str" cm="1">
        <f t="array" aca="1" ref="A137" ca="1">IFERROR(INDEX(_xlfn.ANCHORARRAY(contracts!$A$6),ROW()-ROW(rtd_data[#Headers]),1),"")</f>
        <v>FBTP DEC26</v>
      </c>
      <c r="B1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FBTP</v>
      </c>
      <c r="C137" t="str">
        <f ca="1">IF(rtd_data[[#This Row],[Product]]="","",IF(LEN(TRIM(rtd_data[[#This Row],[Product]]))-LEN(SUBSTITUTE(TRIM(rtd_data[[#This Row],[Product]])," ",""))&gt;=2,"Spread","Future"))</f>
        <v>Future</v>
      </c>
      <c r="D137" t="str">
        <f ca="1">IFERROR(INDEX(exch_map[Exch],MATCH(rtd_data[[#This Row],[Group]],exch_map[Group],0)),"")</f>
        <v>Eurex</v>
      </c>
      <c r="E137" s="11" t="str" cm="1">
        <f t="array" aca="1" ref="E137" ca="1">IFERROR(INDEX(_xlfn.ANCHORARRAY(contracts!$A$6),ROW()-ROW(rtd_data[#Headers]),2),"")</f>
        <v>Y</v>
      </c>
      <c r="F13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7" t="str">
        <f ca="1">IF(rtd_data[[#This Row],[Exch]]="","",IF(rtd_data[[#This Row],[Exch]]="ICE_L","ICE",rtd_data[[#This Row],[Exch]]))</f>
        <v>Eurex</v>
      </c>
      <c r="I137" t="str">
        <f ca="1">IF(rtd_data[[#This Row],[Product]]="","",IFERROR(INDEX(exch_map[TT_Symbol],MATCH(rtd_data[[#This Row],[Group]],exch_map[Group],0))&amp;"",""))</f>
        <v>FBTP</v>
      </c>
      <c r="J137" t="str">
        <f ca="1">IF(rtd_data[[#This Row],[Type]]="Future",PROPER(RIGHT(rtd_data[[#This Row],[Product]],5)),"")</f>
        <v>Dec26</v>
      </c>
    </row>
    <row r="138" spans="1:10" x14ac:dyDescent="0.25">
      <c r="A138" s="11" t="str" cm="1">
        <f t="array" aca="1" ref="A138" ca="1">IFERROR(INDEX(_xlfn.ANCHORARRAY(contracts!$A$6),ROW()-ROW(rtd_data[#Headers]),1),"")</f>
        <v>FBTP MAR27</v>
      </c>
      <c r="B1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FBTP</v>
      </c>
      <c r="C138" t="str">
        <f ca="1">IF(rtd_data[[#This Row],[Product]]="","",IF(LEN(TRIM(rtd_data[[#This Row],[Product]]))-LEN(SUBSTITUTE(TRIM(rtd_data[[#This Row],[Product]])," ",""))&gt;=2,"Spread","Future"))</f>
        <v>Future</v>
      </c>
      <c r="D138" t="str">
        <f ca="1">IFERROR(INDEX(exch_map[Exch],MATCH(rtd_data[[#This Row],[Group]],exch_map[Group],0)),"")</f>
        <v>Eurex</v>
      </c>
      <c r="E138" s="11" t="str" cm="1">
        <f t="array" aca="1" ref="E138" ca="1">IFERROR(INDEX(_xlfn.ANCHORARRAY(contracts!$A$6),ROW()-ROW(rtd_data[#Headers]),2),"")</f>
        <v>Y</v>
      </c>
      <c r="F13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8" t="str">
        <f ca="1">IF(rtd_data[[#This Row],[Exch]]="","",IF(rtd_data[[#This Row],[Exch]]="ICE_L","ICE",rtd_data[[#This Row],[Exch]]))</f>
        <v>Eurex</v>
      </c>
      <c r="I138" t="str">
        <f ca="1">IF(rtd_data[[#This Row],[Product]]="","",IFERROR(INDEX(exch_map[TT_Symbol],MATCH(rtd_data[[#This Row],[Group]],exch_map[Group],0))&amp;"",""))</f>
        <v>FBTP</v>
      </c>
      <c r="J138" t="str">
        <f ca="1">IF(rtd_data[[#This Row],[Type]]="Future",PROPER(RIGHT(rtd_data[[#This Row],[Product]],5)),"")</f>
        <v>Mar27</v>
      </c>
    </row>
    <row r="139" spans="1:10" x14ac:dyDescent="0.25">
      <c r="A139" s="11" t="str" cm="1">
        <f t="array" aca="1" ref="A139" ca="1">IFERROR(INDEX(_xlfn.ANCHORARRAY(contracts!$A$6),ROW()-ROW(rtd_data[#Headers]),1),"")</f>
        <v>FBTS DEC26</v>
      </c>
      <c r="B1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FBTS</v>
      </c>
      <c r="C139" t="str">
        <f ca="1">IF(rtd_data[[#This Row],[Product]]="","",IF(LEN(TRIM(rtd_data[[#This Row],[Product]]))-LEN(SUBSTITUTE(TRIM(rtd_data[[#This Row],[Product]])," ",""))&gt;=2,"Spread","Future"))</f>
        <v>Future</v>
      </c>
      <c r="D139" t="str">
        <f ca="1">IFERROR(INDEX(exch_map[Exch],MATCH(rtd_data[[#This Row],[Group]],exch_map[Group],0)),"")</f>
        <v>Eurex</v>
      </c>
      <c r="E139" s="11" t="str" cm="1">
        <f t="array" aca="1" ref="E139" ca="1">IFERROR(INDEX(_xlfn.ANCHORARRAY(contracts!$A$6),ROW()-ROW(rtd_data[#Headers]),2),"")</f>
        <v>Y</v>
      </c>
      <c r="F13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3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39" t="str">
        <f ca="1">IF(rtd_data[[#This Row],[Exch]]="","",IF(rtd_data[[#This Row],[Exch]]="ICE_L","ICE",rtd_data[[#This Row],[Exch]]))</f>
        <v>Eurex</v>
      </c>
      <c r="I139" t="str">
        <f ca="1">IF(rtd_data[[#This Row],[Product]]="","",IFERROR(INDEX(exch_map[TT_Symbol],MATCH(rtd_data[[#This Row],[Group]],exch_map[Group],0))&amp;"",""))</f>
        <v>FBTS</v>
      </c>
      <c r="J139" t="str">
        <f ca="1">IF(rtd_data[[#This Row],[Type]]="Future",PROPER(RIGHT(rtd_data[[#This Row],[Product]],5)),"")</f>
        <v>Dec26</v>
      </c>
    </row>
    <row r="140" spans="1:10" x14ac:dyDescent="0.25">
      <c r="A140" s="11" t="str" cm="1">
        <f t="array" aca="1" ref="A140" ca="1">IFERROR(INDEX(_xlfn.ANCHORARRAY(contracts!$A$6),ROW()-ROW(rtd_data[#Headers]),1),"")</f>
        <v>FBTS MAR27</v>
      </c>
      <c r="B1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FBTS</v>
      </c>
      <c r="C140" t="str">
        <f ca="1">IF(rtd_data[[#This Row],[Product]]="","",IF(LEN(TRIM(rtd_data[[#This Row],[Product]]))-LEN(SUBSTITUTE(TRIM(rtd_data[[#This Row],[Product]])," ",""))&gt;=2,"Spread","Future"))</f>
        <v>Future</v>
      </c>
      <c r="D140" t="str">
        <f ca="1">IFERROR(INDEX(exch_map[Exch],MATCH(rtd_data[[#This Row],[Group]],exch_map[Group],0)),"")</f>
        <v>Eurex</v>
      </c>
      <c r="E140" s="11" t="str" cm="1">
        <f t="array" aca="1" ref="E140" ca="1">IFERROR(INDEX(_xlfn.ANCHORARRAY(contracts!$A$6),ROW()-ROW(rtd_data[#Headers]),2),"")</f>
        <v>Y</v>
      </c>
      <c r="F14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0" t="str">
        <f ca="1">IF(rtd_data[[#This Row],[Exch]]="","",IF(rtd_data[[#This Row],[Exch]]="ICE_L","ICE",rtd_data[[#This Row],[Exch]]))</f>
        <v>Eurex</v>
      </c>
      <c r="I140" t="str">
        <f ca="1">IF(rtd_data[[#This Row],[Product]]="","",IFERROR(INDEX(exch_map[TT_Symbol],MATCH(rtd_data[[#This Row],[Group]],exch_map[Group],0))&amp;"",""))</f>
        <v>FBTS</v>
      </c>
      <c r="J140" t="str">
        <f ca="1">IF(rtd_data[[#This Row],[Type]]="Future",PROPER(RIGHT(rtd_data[[#This Row],[Product]],5)),"")</f>
        <v>Mar27</v>
      </c>
    </row>
    <row r="141" spans="1:10" x14ac:dyDescent="0.25">
      <c r="A141" s="11" t="str" cm="1">
        <f t="array" aca="1" ref="A141" ca="1">IFERROR(INDEX(_xlfn.ANCHORARRAY(contracts!$A$6),ROW()-ROW(rtd_data[#Headers]),1),"")</f>
        <v>FGBL DEC26</v>
      </c>
      <c r="B1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FGBL</v>
      </c>
      <c r="C141" t="str">
        <f ca="1">IF(rtd_data[[#This Row],[Product]]="","",IF(LEN(TRIM(rtd_data[[#This Row],[Product]]))-LEN(SUBSTITUTE(TRIM(rtd_data[[#This Row],[Product]])," ",""))&gt;=2,"Spread","Future"))</f>
        <v>Future</v>
      </c>
      <c r="D141" t="str">
        <f ca="1">IFERROR(INDEX(exch_map[Exch],MATCH(rtd_data[[#This Row],[Group]],exch_map[Group],0)),"")</f>
        <v>Eurex</v>
      </c>
      <c r="E141" s="11" t="str" cm="1">
        <f t="array" aca="1" ref="E141" ca="1">IFERROR(INDEX(_xlfn.ANCHORARRAY(contracts!$A$6),ROW()-ROW(rtd_data[#Headers]),2),"")</f>
        <v>Y</v>
      </c>
      <c r="F14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1" t="str">
        <f ca="1">IF(rtd_data[[#This Row],[Exch]]="","",IF(rtd_data[[#This Row],[Exch]]="ICE_L","ICE",rtd_data[[#This Row],[Exch]]))</f>
        <v>Eurex</v>
      </c>
      <c r="I141" t="str">
        <f ca="1">IF(rtd_data[[#This Row],[Product]]="","",IFERROR(INDEX(exch_map[TT_Symbol],MATCH(rtd_data[[#This Row],[Group]],exch_map[Group],0))&amp;"",""))</f>
        <v>FGBL</v>
      </c>
      <c r="J141" t="str">
        <f ca="1">IF(rtd_data[[#This Row],[Type]]="Future",PROPER(RIGHT(rtd_data[[#This Row],[Product]],5)),"")</f>
        <v>Dec26</v>
      </c>
    </row>
    <row r="142" spans="1:10" x14ac:dyDescent="0.25">
      <c r="A142" s="11" t="str" cm="1">
        <f t="array" aca="1" ref="A142" ca="1">IFERROR(INDEX(_xlfn.ANCHORARRAY(contracts!$A$6),ROW()-ROW(rtd_data[#Headers]),1),"")</f>
        <v>FGBL MAR27</v>
      </c>
      <c r="B1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FGBL</v>
      </c>
      <c r="C142" t="str">
        <f ca="1">IF(rtd_data[[#This Row],[Product]]="","",IF(LEN(TRIM(rtd_data[[#This Row],[Product]]))-LEN(SUBSTITUTE(TRIM(rtd_data[[#This Row],[Product]])," ",""))&gt;=2,"Spread","Future"))</f>
        <v>Future</v>
      </c>
      <c r="D142" t="str">
        <f ca="1">IFERROR(INDEX(exch_map[Exch],MATCH(rtd_data[[#This Row],[Group]],exch_map[Group],0)),"")</f>
        <v>Eurex</v>
      </c>
      <c r="E142" s="11" t="str" cm="1">
        <f t="array" aca="1" ref="E142" ca="1">IFERROR(INDEX(_xlfn.ANCHORARRAY(contracts!$A$6),ROW()-ROW(rtd_data[#Headers]),2),"")</f>
        <v>Y</v>
      </c>
      <c r="F14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2" t="str">
        <f ca="1">IF(rtd_data[[#This Row],[Exch]]="","",IF(rtd_data[[#This Row],[Exch]]="ICE_L","ICE",rtd_data[[#This Row],[Exch]]))</f>
        <v>Eurex</v>
      </c>
      <c r="I142" t="str">
        <f ca="1">IF(rtd_data[[#This Row],[Product]]="","",IFERROR(INDEX(exch_map[TT_Symbol],MATCH(rtd_data[[#This Row],[Group]],exch_map[Group],0))&amp;"",""))</f>
        <v>FGBL</v>
      </c>
      <c r="J142" t="str">
        <f ca="1">IF(rtd_data[[#This Row],[Type]]="Future",PROPER(RIGHT(rtd_data[[#This Row],[Product]],5)),"")</f>
        <v>Mar27</v>
      </c>
    </row>
    <row r="143" spans="1:10" x14ac:dyDescent="0.25">
      <c r="A143" s="11" t="str" cm="1">
        <f t="array" aca="1" ref="A143" ca="1">IFERROR(INDEX(_xlfn.ANCHORARRAY(contracts!$A$6),ROW()-ROW(rtd_data[#Headers]),1),"")</f>
        <v>FGBM DEC26</v>
      </c>
      <c r="B1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FGBM</v>
      </c>
      <c r="C143" t="str">
        <f ca="1">IF(rtd_data[[#This Row],[Product]]="","",IF(LEN(TRIM(rtd_data[[#This Row],[Product]]))-LEN(SUBSTITUTE(TRIM(rtd_data[[#This Row],[Product]])," ",""))&gt;=2,"Spread","Future"))</f>
        <v>Future</v>
      </c>
      <c r="D143" t="str">
        <f ca="1">IFERROR(INDEX(exch_map[Exch],MATCH(rtd_data[[#This Row],[Group]],exch_map[Group],0)),"")</f>
        <v>Eurex</v>
      </c>
      <c r="E143" s="11" t="str" cm="1">
        <f t="array" aca="1" ref="E143" ca="1">IFERROR(INDEX(_xlfn.ANCHORARRAY(contracts!$A$6),ROW()-ROW(rtd_data[#Headers]),2),"")</f>
        <v>Y</v>
      </c>
      <c r="F14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3" t="str">
        <f ca="1">IF(rtd_data[[#This Row],[Exch]]="","",IF(rtd_data[[#This Row],[Exch]]="ICE_L","ICE",rtd_data[[#This Row],[Exch]]))</f>
        <v>Eurex</v>
      </c>
      <c r="I143" t="str">
        <f ca="1">IF(rtd_data[[#This Row],[Product]]="","",IFERROR(INDEX(exch_map[TT_Symbol],MATCH(rtd_data[[#This Row],[Group]],exch_map[Group],0))&amp;"",""))</f>
        <v>FGBM</v>
      </c>
      <c r="J143" t="str">
        <f ca="1">IF(rtd_data[[#This Row],[Type]]="Future",PROPER(RIGHT(rtd_data[[#This Row],[Product]],5)),"")</f>
        <v>Dec26</v>
      </c>
    </row>
    <row r="144" spans="1:10" x14ac:dyDescent="0.25">
      <c r="A144" s="11" t="str" cm="1">
        <f t="array" aca="1" ref="A144" ca="1">IFERROR(INDEX(_xlfn.ANCHORARRAY(contracts!$A$6),ROW()-ROW(rtd_data[#Headers]),1),"")</f>
        <v>FGBM MAR27</v>
      </c>
      <c r="B1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FGBM</v>
      </c>
      <c r="C144" t="str">
        <f ca="1">IF(rtd_data[[#This Row],[Product]]="","",IF(LEN(TRIM(rtd_data[[#This Row],[Product]]))-LEN(SUBSTITUTE(TRIM(rtd_data[[#This Row],[Product]])," ",""))&gt;=2,"Spread","Future"))</f>
        <v>Future</v>
      </c>
      <c r="D144" t="str">
        <f ca="1">IFERROR(INDEX(exch_map[Exch],MATCH(rtd_data[[#This Row],[Group]],exch_map[Group],0)),"")</f>
        <v>Eurex</v>
      </c>
      <c r="E144" s="11" t="str" cm="1">
        <f t="array" aca="1" ref="E144" ca="1">IFERROR(INDEX(_xlfn.ANCHORARRAY(contracts!$A$6),ROW()-ROW(rtd_data[#Headers]),2),"")</f>
        <v>Y</v>
      </c>
      <c r="F14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4" t="str">
        <f ca="1">IF(rtd_data[[#This Row],[Exch]]="","",IF(rtd_data[[#This Row],[Exch]]="ICE_L","ICE",rtd_data[[#This Row],[Exch]]))</f>
        <v>Eurex</v>
      </c>
      <c r="I144" t="str">
        <f ca="1">IF(rtd_data[[#This Row],[Product]]="","",IFERROR(INDEX(exch_map[TT_Symbol],MATCH(rtd_data[[#This Row],[Group]],exch_map[Group],0))&amp;"",""))</f>
        <v>FGBM</v>
      </c>
      <c r="J144" t="str">
        <f ca="1">IF(rtd_data[[#This Row],[Type]]="Future",PROPER(RIGHT(rtd_data[[#This Row],[Product]],5)),"")</f>
        <v>Mar27</v>
      </c>
    </row>
    <row r="145" spans="1:10" x14ac:dyDescent="0.25">
      <c r="A145" s="11" t="str" cm="1">
        <f t="array" aca="1" ref="A145" ca="1">IFERROR(INDEX(_xlfn.ANCHORARRAY(contracts!$A$6),ROW()-ROW(rtd_data[#Headers]),1),"")</f>
        <v>FGBS DEC26</v>
      </c>
      <c r="B1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FGBS</v>
      </c>
      <c r="C145" t="str">
        <f ca="1">IF(rtd_data[[#This Row],[Product]]="","",IF(LEN(TRIM(rtd_data[[#This Row],[Product]]))-LEN(SUBSTITUTE(TRIM(rtd_data[[#This Row],[Product]])," ",""))&gt;=2,"Spread","Future"))</f>
        <v>Future</v>
      </c>
      <c r="D145" t="str">
        <f ca="1">IFERROR(INDEX(exch_map[Exch],MATCH(rtd_data[[#This Row],[Group]],exch_map[Group],0)),"")</f>
        <v>Eurex</v>
      </c>
      <c r="E145" s="11" t="str" cm="1">
        <f t="array" aca="1" ref="E145" ca="1">IFERROR(INDEX(_xlfn.ANCHORARRAY(contracts!$A$6),ROW()-ROW(rtd_data[#Headers]),2),"")</f>
        <v>Y</v>
      </c>
      <c r="F14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5" t="str">
        <f ca="1">IF(rtd_data[[#This Row],[Exch]]="","",IF(rtd_data[[#This Row],[Exch]]="ICE_L","ICE",rtd_data[[#This Row],[Exch]]))</f>
        <v>Eurex</v>
      </c>
      <c r="I145" t="str">
        <f ca="1">IF(rtd_data[[#This Row],[Product]]="","",IFERROR(INDEX(exch_map[TT_Symbol],MATCH(rtd_data[[#This Row],[Group]],exch_map[Group],0))&amp;"",""))</f>
        <v>FGBS</v>
      </c>
      <c r="J145" t="str">
        <f ca="1">IF(rtd_data[[#This Row],[Type]]="Future",PROPER(RIGHT(rtd_data[[#This Row],[Product]],5)),"")</f>
        <v>Dec26</v>
      </c>
    </row>
    <row r="146" spans="1:10" x14ac:dyDescent="0.25">
      <c r="A146" s="11" t="str" cm="1">
        <f t="array" aca="1" ref="A146" ca="1">IFERROR(INDEX(_xlfn.ANCHORARRAY(contracts!$A$6),ROW()-ROW(rtd_data[#Headers]),1),"")</f>
        <v>FGBS MAR27</v>
      </c>
      <c r="B1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FGBS</v>
      </c>
      <c r="C146" t="str">
        <f ca="1">IF(rtd_data[[#This Row],[Product]]="","",IF(LEN(TRIM(rtd_data[[#This Row],[Product]]))-LEN(SUBSTITUTE(TRIM(rtd_data[[#This Row],[Product]])," ",""))&gt;=2,"Spread","Future"))</f>
        <v>Future</v>
      </c>
      <c r="D146" t="str">
        <f ca="1">IFERROR(INDEX(exch_map[Exch],MATCH(rtd_data[[#This Row],[Group]],exch_map[Group],0)),"")</f>
        <v>Eurex</v>
      </c>
      <c r="E146" s="11" t="str" cm="1">
        <f t="array" aca="1" ref="E146" ca="1">IFERROR(INDEX(_xlfn.ANCHORARRAY(contracts!$A$6),ROW()-ROW(rtd_data[#Headers]),2),"")</f>
        <v>Y</v>
      </c>
      <c r="F14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6" t="str">
        <f ca="1">IF(rtd_data[[#This Row],[Exch]]="","",IF(rtd_data[[#This Row],[Exch]]="ICE_L","ICE",rtd_data[[#This Row],[Exch]]))</f>
        <v>Eurex</v>
      </c>
      <c r="I146" t="str">
        <f ca="1">IF(rtd_data[[#This Row],[Product]]="","",IFERROR(INDEX(exch_map[TT_Symbol],MATCH(rtd_data[[#This Row],[Group]],exch_map[Group],0))&amp;"",""))</f>
        <v>FGBS</v>
      </c>
      <c r="J146" t="str">
        <f ca="1">IF(rtd_data[[#This Row],[Type]]="Future",PROPER(RIGHT(rtd_data[[#This Row],[Product]],5)),"")</f>
        <v>Mar27</v>
      </c>
    </row>
    <row r="147" spans="1:10" x14ac:dyDescent="0.25">
      <c r="A147" s="11" t="str" cm="1">
        <f t="array" aca="1" ref="A147" ca="1">IFERROR(INDEX(_xlfn.ANCHORARRAY(contracts!$A$6),ROW()-ROW(rtd_data[#Headers]),1),"")</f>
        <v>FGBX DEC26</v>
      </c>
      <c r="B1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FGBX</v>
      </c>
      <c r="C147" t="str">
        <f ca="1">IF(rtd_data[[#This Row],[Product]]="","",IF(LEN(TRIM(rtd_data[[#This Row],[Product]]))-LEN(SUBSTITUTE(TRIM(rtd_data[[#This Row],[Product]])," ",""))&gt;=2,"Spread","Future"))</f>
        <v>Future</v>
      </c>
      <c r="D147" t="str">
        <f ca="1">IFERROR(INDEX(exch_map[Exch],MATCH(rtd_data[[#This Row],[Group]],exch_map[Group],0)),"")</f>
        <v>Eurex</v>
      </c>
      <c r="E147" s="11" t="str" cm="1">
        <f t="array" aca="1" ref="E147" ca="1">IFERROR(INDEX(_xlfn.ANCHORARRAY(contracts!$A$6),ROW()-ROW(rtd_data[#Headers]),2),"")</f>
        <v>Y</v>
      </c>
      <c r="F14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7" t="str">
        <f ca="1">IF(rtd_data[[#This Row],[Exch]]="","",IF(rtd_data[[#This Row],[Exch]]="ICE_L","ICE",rtd_data[[#This Row],[Exch]]))</f>
        <v>Eurex</v>
      </c>
      <c r="I147" t="str">
        <f ca="1">IF(rtd_data[[#This Row],[Product]]="","",IFERROR(INDEX(exch_map[TT_Symbol],MATCH(rtd_data[[#This Row],[Group]],exch_map[Group],0))&amp;"",""))</f>
        <v>FGBX</v>
      </c>
      <c r="J147" t="str">
        <f ca="1">IF(rtd_data[[#This Row],[Type]]="Future",PROPER(RIGHT(rtd_data[[#This Row],[Product]],5)),"")</f>
        <v>Dec26</v>
      </c>
    </row>
    <row r="148" spans="1:10" x14ac:dyDescent="0.25">
      <c r="A148" s="11" t="str" cm="1">
        <f t="array" aca="1" ref="A148" ca="1">IFERROR(INDEX(_xlfn.ANCHORARRAY(contracts!$A$6),ROW()-ROW(rtd_data[#Headers]),1),"")</f>
        <v>FGBX MAR27</v>
      </c>
      <c r="B1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FGBX</v>
      </c>
      <c r="C148" t="str">
        <f ca="1">IF(rtd_data[[#This Row],[Product]]="","",IF(LEN(TRIM(rtd_data[[#This Row],[Product]]))-LEN(SUBSTITUTE(TRIM(rtd_data[[#This Row],[Product]])," ",""))&gt;=2,"Spread","Future"))</f>
        <v>Future</v>
      </c>
      <c r="D148" t="str">
        <f ca="1">IFERROR(INDEX(exch_map[Exch],MATCH(rtd_data[[#This Row],[Group]],exch_map[Group],0)),"")</f>
        <v>Eurex</v>
      </c>
      <c r="E148" s="11" t="str" cm="1">
        <f t="array" aca="1" ref="E148" ca="1">IFERROR(INDEX(_xlfn.ANCHORARRAY(contracts!$A$6),ROW()-ROW(rtd_data[#Headers]),2),"")</f>
        <v>Y</v>
      </c>
      <c r="F14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8" t="str">
        <f ca="1">IF(rtd_data[[#This Row],[Exch]]="","",IF(rtd_data[[#This Row],[Exch]]="ICE_L","ICE",rtd_data[[#This Row],[Exch]]))</f>
        <v>Eurex</v>
      </c>
      <c r="I148" t="str">
        <f ca="1">IF(rtd_data[[#This Row],[Product]]="","",IFERROR(INDEX(exch_map[TT_Symbol],MATCH(rtd_data[[#This Row],[Group]],exch_map[Group],0))&amp;"",""))</f>
        <v>FGBX</v>
      </c>
      <c r="J148" t="str">
        <f ca="1">IF(rtd_data[[#This Row],[Type]]="Future",PROPER(RIGHT(rtd_data[[#This Row],[Product]],5)),"")</f>
        <v>Mar27</v>
      </c>
    </row>
    <row r="149" spans="1:10" x14ac:dyDescent="0.25">
      <c r="A149" s="11" t="str" cm="1">
        <f t="array" aca="1" ref="A149" ca="1">IFERROR(INDEX(_xlfn.ANCHORARRAY(contracts!$A$6),ROW()-ROW(rtd_data[#Headers]),1),"")</f>
        <v>FOAT DEC26</v>
      </c>
      <c r="B1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FOAT</v>
      </c>
      <c r="C149" t="str">
        <f ca="1">IF(rtd_data[[#This Row],[Product]]="","",IF(LEN(TRIM(rtd_data[[#This Row],[Product]]))-LEN(SUBSTITUTE(TRIM(rtd_data[[#This Row],[Product]])," ",""))&gt;=2,"Spread","Future"))</f>
        <v>Future</v>
      </c>
      <c r="D149" t="str">
        <f ca="1">IFERROR(INDEX(exch_map[Exch],MATCH(rtd_data[[#This Row],[Group]],exch_map[Group],0)),"")</f>
        <v>Eurex</v>
      </c>
      <c r="E149" s="11" t="str" cm="1">
        <f t="array" aca="1" ref="E149" ca="1">IFERROR(INDEX(_xlfn.ANCHORARRAY(contracts!$A$6),ROW()-ROW(rtd_data[#Headers]),2),"")</f>
        <v>Y</v>
      </c>
      <c r="F14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4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49" t="str">
        <f ca="1">IF(rtd_data[[#This Row],[Exch]]="","",IF(rtd_data[[#This Row],[Exch]]="ICE_L","ICE",rtd_data[[#This Row],[Exch]]))</f>
        <v>Eurex</v>
      </c>
      <c r="I149" t="str">
        <f ca="1">IF(rtd_data[[#This Row],[Product]]="","",IFERROR(INDEX(exch_map[TT_Symbol],MATCH(rtd_data[[#This Row],[Group]],exch_map[Group],0))&amp;"",""))</f>
        <v>FOAT</v>
      </c>
      <c r="J149" t="str">
        <f ca="1">IF(rtd_data[[#This Row],[Type]]="Future",PROPER(RIGHT(rtd_data[[#This Row],[Product]],5)),"")</f>
        <v>Dec26</v>
      </c>
    </row>
    <row r="150" spans="1:10" x14ac:dyDescent="0.25">
      <c r="A150" s="11" t="str" cm="1">
        <f t="array" aca="1" ref="A150" ca="1">IFERROR(INDEX(_xlfn.ANCHORARRAY(contracts!$A$6),ROW()-ROW(rtd_data[#Headers]),1),"")</f>
        <v>FOAT MAR27</v>
      </c>
      <c r="B1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FOAT</v>
      </c>
      <c r="C150" t="str">
        <f ca="1">IF(rtd_data[[#This Row],[Product]]="","",IF(LEN(TRIM(rtd_data[[#This Row],[Product]]))-LEN(SUBSTITUTE(TRIM(rtd_data[[#This Row],[Product]])," ",""))&gt;=2,"Spread","Future"))</f>
        <v>Future</v>
      </c>
      <c r="D150" t="str">
        <f ca="1">IFERROR(INDEX(exch_map[Exch],MATCH(rtd_data[[#This Row],[Group]],exch_map[Group],0)),"")</f>
        <v>Eurex</v>
      </c>
      <c r="E150" s="11" t="str" cm="1">
        <f t="array" aca="1" ref="E150" ca="1">IFERROR(INDEX(_xlfn.ANCHORARRAY(contracts!$A$6),ROW()-ROW(rtd_data[#Headers]),2),"")</f>
        <v>Y</v>
      </c>
      <c r="F15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0" t="str">
        <f ca="1">IF(rtd_data[[#This Row],[Exch]]="","",IF(rtd_data[[#This Row],[Exch]]="ICE_L","ICE",rtd_data[[#This Row],[Exch]]))</f>
        <v>Eurex</v>
      </c>
      <c r="I150" t="str">
        <f ca="1">IF(rtd_data[[#This Row],[Product]]="","",IFERROR(INDEX(exch_map[TT_Symbol],MATCH(rtd_data[[#This Row],[Group]],exch_map[Group],0))&amp;"",""))</f>
        <v>FOAT</v>
      </c>
      <c r="J150" t="str">
        <f ca="1">IF(rtd_data[[#This Row],[Type]]="Future",PROPER(RIGHT(rtd_data[[#This Row],[Product]],5)),"")</f>
        <v>Mar27</v>
      </c>
    </row>
    <row r="151" spans="1:10" x14ac:dyDescent="0.25">
      <c r="A151" s="11" t="str" cm="1">
        <f t="array" aca="1" ref="A151" ca="1">IFERROR(INDEX(_xlfn.ANCHORARRAY(contracts!$A$6),ROW()-ROW(rtd_data[#Headers]),1),"")</f>
        <v>FVS OCT26</v>
      </c>
      <c r="B1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1" t="str">
        <f ca="1">IF(rtd_data[[#This Row],[Product]]="","",IF(LEN(TRIM(rtd_data[[#This Row],[Product]]))-LEN(SUBSTITUTE(TRIM(rtd_data[[#This Row],[Product]])," ",""))&gt;=2,"Spread","Future"))</f>
        <v>Future</v>
      </c>
      <c r="D151" t="str">
        <f ca="1">IFERROR(INDEX(exch_map[Exch],MATCH(rtd_data[[#This Row],[Group]],exch_map[Group],0)),"")</f>
        <v>Eurex</v>
      </c>
      <c r="E151" s="11" t="str" cm="1">
        <f t="array" aca="1" ref="E151" ca="1">IFERROR(INDEX(_xlfn.ANCHORARRAY(contracts!$A$6),ROW()-ROW(rtd_data[#Headers]),2),"")</f>
        <v>Y</v>
      </c>
      <c r="F15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1" t="str">
        <f ca="1">IF(rtd_data[[#This Row],[Exch]]="","",IF(rtd_data[[#This Row],[Exch]]="ICE_L","ICE",rtd_data[[#This Row],[Exch]]))</f>
        <v>Eurex</v>
      </c>
      <c r="I151" t="str">
        <f ca="1">IF(rtd_data[[#This Row],[Product]]="","",IFERROR(INDEX(exch_map[TT_Symbol],MATCH(rtd_data[[#This Row],[Group]],exch_map[Group],0))&amp;"",""))</f>
        <v>FVS</v>
      </c>
      <c r="J151" t="str">
        <f ca="1">IF(rtd_data[[#This Row],[Type]]="Future",PROPER(RIGHT(rtd_data[[#This Row],[Product]],5)),"")</f>
        <v>Oct26</v>
      </c>
    </row>
    <row r="152" spans="1:10" x14ac:dyDescent="0.25">
      <c r="A152" s="11" t="str" cm="1">
        <f t="array" aca="1" ref="A152" ca="1">IFERROR(INDEX(_xlfn.ANCHORARRAY(contracts!$A$6),ROW()-ROW(rtd_data[#Headers]),1),"")</f>
        <v>FVS NOV26</v>
      </c>
      <c r="B1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2" t="str">
        <f ca="1">IF(rtd_data[[#This Row],[Product]]="","",IF(LEN(TRIM(rtd_data[[#This Row],[Product]]))-LEN(SUBSTITUTE(TRIM(rtd_data[[#This Row],[Product]])," ",""))&gt;=2,"Spread","Future"))</f>
        <v>Future</v>
      </c>
      <c r="D152" t="str">
        <f ca="1">IFERROR(INDEX(exch_map[Exch],MATCH(rtd_data[[#This Row],[Group]],exch_map[Group],0)),"")</f>
        <v>Eurex</v>
      </c>
      <c r="E152" s="11" t="str" cm="1">
        <f t="array" aca="1" ref="E152" ca="1">IFERROR(INDEX(_xlfn.ANCHORARRAY(contracts!$A$6),ROW()-ROW(rtd_data[#Headers]),2),"")</f>
        <v>Y</v>
      </c>
      <c r="F15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2" t="str">
        <f ca="1">IF(rtd_data[[#This Row],[Exch]]="","",IF(rtd_data[[#This Row],[Exch]]="ICE_L","ICE",rtd_data[[#This Row],[Exch]]))</f>
        <v>Eurex</v>
      </c>
      <c r="I152" t="str">
        <f ca="1">IF(rtd_data[[#This Row],[Product]]="","",IFERROR(INDEX(exch_map[TT_Symbol],MATCH(rtd_data[[#This Row],[Group]],exch_map[Group],0))&amp;"",""))</f>
        <v>FVS</v>
      </c>
      <c r="J152" t="str">
        <f ca="1">IF(rtd_data[[#This Row],[Type]]="Future",PROPER(RIGHT(rtd_data[[#This Row],[Product]],5)),"")</f>
        <v>Nov26</v>
      </c>
    </row>
    <row r="153" spans="1:10" x14ac:dyDescent="0.25">
      <c r="A153" s="11" t="str" cm="1">
        <f t="array" aca="1" ref="A153" ca="1">IFERROR(INDEX(_xlfn.ANCHORARRAY(contracts!$A$6),ROW()-ROW(rtd_data[#Headers]),1),"")</f>
        <v>FVS DEC26</v>
      </c>
      <c r="B1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3" t="str">
        <f ca="1">IF(rtd_data[[#This Row],[Product]]="","",IF(LEN(TRIM(rtd_data[[#This Row],[Product]]))-LEN(SUBSTITUTE(TRIM(rtd_data[[#This Row],[Product]])," ",""))&gt;=2,"Spread","Future"))</f>
        <v>Future</v>
      </c>
      <c r="D153" t="str">
        <f ca="1">IFERROR(INDEX(exch_map[Exch],MATCH(rtd_data[[#This Row],[Group]],exch_map[Group],0)),"")</f>
        <v>Eurex</v>
      </c>
      <c r="E153" s="11" t="str" cm="1">
        <f t="array" aca="1" ref="E153" ca="1">IFERROR(INDEX(_xlfn.ANCHORARRAY(contracts!$A$6),ROW()-ROW(rtd_data[#Headers]),2),"")</f>
        <v>Y</v>
      </c>
      <c r="F15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3" t="str">
        <f ca="1">IF(rtd_data[[#This Row],[Exch]]="","",IF(rtd_data[[#This Row],[Exch]]="ICE_L","ICE",rtd_data[[#This Row],[Exch]]))</f>
        <v>Eurex</v>
      </c>
      <c r="I153" t="str">
        <f ca="1">IF(rtd_data[[#This Row],[Product]]="","",IFERROR(INDEX(exch_map[TT_Symbol],MATCH(rtd_data[[#This Row],[Group]],exch_map[Group],0))&amp;"",""))</f>
        <v>FVS</v>
      </c>
      <c r="J153" t="str">
        <f ca="1">IF(rtd_data[[#This Row],[Type]]="Future",PROPER(RIGHT(rtd_data[[#This Row],[Product]],5)),"")</f>
        <v>Dec26</v>
      </c>
    </row>
    <row r="154" spans="1:10" x14ac:dyDescent="0.25">
      <c r="A154" s="11" t="str" cm="1">
        <f t="array" aca="1" ref="A154" ca="1">IFERROR(INDEX(_xlfn.ANCHORARRAY(contracts!$A$6),ROW()-ROW(rtd_data[#Headers]),1),"")</f>
        <v>FVS JAN27</v>
      </c>
      <c r="B1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4" t="str">
        <f ca="1">IF(rtd_data[[#This Row],[Product]]="","",IF(LEN(TRIM(rtd_data[[#This Row],[Product]]))-LEN(SUBSTITUTE(TRIM(rtd_data[[#This Row],[Product]])," ",""))&gt;=2,"Spread","Future"))</f>
        <v>Future</v>
      </c>
      <c r="D154" t="str">
        <f ca="1">IFERROR(INDEX(exch_map[Exch],MATCH(rtd_data[[#This Row],[Group]],exch_map[Group],0)),"")</f>
        <v>Eurex</v>
      </c>
      <c r="E154" s="11" t="str" cm="1">
        <f t="array" aca="1" ref="E154" ca="1">IFERROR(INDEX(_xlfn.ANCHORARRAY(contracts!$A$6),ROW()-ROW(rtd_data[#Headers]),2),"")</f>
        <v>Y</v>
      </c>
      <c r="F15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4" t="str">
        <f ca="1">IF(rtd_data[[#This Row],[Exch]]="","",IF(rtd_data[[#This Row],[Exch]]="ICE_L","ICE",rtd_data[[#This Row],[Exch]]))</f>
        <v>Eurex</v>
      </c>
      <c r="I154" t="str">
        <f ca="1">IF(rtd_data[[#This Row],[Product]]="","",IFERROR(INDEX(exch_map[TT_Symbol],MATCH(rtd_data[[#This Row],[Group]],exch_map[Group],0))&amp;"",""))</f>
        <v>FVS</v>
      </c>
      <c r="J154" t="str">
        <f ca="1">IF(rtd_data[[#This Row],[Type]]="Future",PROPER(RIGHT(rtd_data[[#This Row],[Product]],5)),"")</f>
        <v>Jan27</v>
      </c>
    </row>
    <row r="155" spans="1:10" x14ac:dyDescent="0.25">
      <c r="A155" s="11" t="str" cm="1">
        <f t="array" aca="1" ref="A155" ca="1">IFERROR(INDEX(_xlfn.ANCHORARRAY(contracts!$A$6),ROW()-ROW(rtd_data[#Headers]),1),"")</f>
        <v>FVS FEB27</v>
      </c>
      <c r="B1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5" t="str">
        <f ca="1">IF(rtd_data[[#This Row],[Product]]="","",IF(LEN(TRIM(rtd_data[[#This Row],[Product]]))-LEN(SUBSTITUTE(TRIM(rtd_data[[#This Row],[Product]])," ",""))&gt;=2,"Spread","Future"))</f>
        <v>Future</v>
      </c>
      <c r="D155" t="str">
        <f ca="1">IFERROR(INDEX(exch_map[Exch],MATCH(rtd_data[[#This Row],[Group]],exch_map[Group],0)),"")</f>
        <v>Eurex</v>
      </c>
      <c r="E155" s="11" t="str" cm="1">
        <f t="array" aca="1" ref="E155" ca="1">IFERROR(INDEX(_xlfn.ANCHORARRAY(contracts!$A$6),ROW()-ROW(rtd_data[#Headers]),2),"")</f>
        <v>Y</v>
      </c>
      <c r="F15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5" t="str">
        <f ca="1">IF(rtd_data[[#This Row],[Exch]]="","",IF(rtd_data[[#This Row],[Exch]]="ICE_L","ICE",rtd_data[[#This Row],[Exch]]))</f>
        <v>Eurex</v>
      </c>
      <c r="I155" t="str">
        <f ca="1">IF(rtd_data[[#This Row],[Product]]="","",IFERROR(INDEX(exch_map[TT_Symbol],MATCH(rtd_data[[#This Row],[Group]],exch_map[Group],0))&amp;"",""))</f>
        <v>FVS</v>
      </c>
      <c r="J155" t="str">
        <f ca="1">IF(rtd_data[[#This Row],[Type]]="Future",PROPER(RIGHT(rtd_data[[#This Row],[Product]],5)),"")</f>
        <v>Feb27</v>
      </c>
    </row>
    <row r="156" spans="1:10" x14ac:dyDescent="0.25">
      <c r="A156" s="11" t="str" cm="1">
        <f t="array" aca="1" ref="A156" ca="1">IFERROR(INDEX(_xlfn.ANCHORARRAY(contracts!$A$6),ROW()-ROW(rtd_data[#Headers]),1),"")</f>
        <v>FVS MAR27</v>
      </c>
      <c r="B1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6" t="str">
        <f ca="1">IF(rtd_data[[#This Row],[Product]]="","",IF(LEN(TRIM(rtd_data[[#This Row],[Product]]))-LEN(SUBSTITUTE(TRIM(rtd_data[[#This Row],[Product]])," ",""))&gt;=2,"Spread","Future"))</f>
        <v>Future</v>
      </c>
      <c r="D156" t="str">
        <f ca="1">IFERROR(INDEX(exch_map[Exch],MATCH(rtd_data[[#This Row],[Group]],exch_map[Group],0)),"")</f>
        <v>Eurex</v>
      </c>
      <c r="E156" s="11" t="str" cm="1">
        <f t="array" aca="1" ref="E156" ca="1">IFERROR(INDEX(_xlfn.ANCHORARRAY(contracts!$A$6),ROW()-ROW(rtd_data[#Headers]),2),"")</f>
        <v>Y</v>
      </c>
      <c r="F15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6" t="str">
        <f ca="1">IF(rtd_data[[#This Row],[Exch]]="","",IF(rtd_data[[#This Row],[Exch]]="ICE_L","ICE",rtd_data[[#This Row],[Exch]]))</f>
        <v>Eurex</v>
      </c>
      <c r="I156" t="str">
        <f ca="1">IF(rtd_data[[#This Row],[Product]]="","",IFERROR(INDEX(exch_map[TT_Symbol],MATCH(rtd_data[[#This Row],[Group]],exch_map[Group],0))&amp;"",""))</f>
        <v>FVS</v>
      </c>
      <c r="J156" t="str">
        <f ca="1">IF(rtd_data[[#This Row],[Type]]="Future",PROPER(RIGHT(rtd_data[[#This Row],[Product]],5)),"")</f>
        <v>Mar27</v>
      </c>
    </row>
    <row r="157" spans="1:10" x14ac:dyDescent="0.25">
      <c r="A157" s="11" t="str" cm="1">
        <f t="array" aca="1" ref="A157" ca="1">IFERROR(INDEX(_xlfn.ANCHORARRAY(contracts!$A$6),ROW()-ROW(rtd_data[#Headers]),1),"")</f>
        <v>SR1 OCT26</v>
      </c>
      <c r="B1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7" t="str">
        <f ca="1">IF(rtd_data[[#This Row],[Product]]="","",IF(LEN(TRIM(rtd_data[[#This Row],[Product]]))-LEN(SUBSTITUTE(TRIM(rtd_data[[#This Row],[Product]])," ",""))&gt;=2,"Spread","Future"))</f>
        <v>Future</v>
      </c>
      <c r="D157" t="str">
        <f ca="1">IFERROR(INDEX(exch_map[Exch],MATCH(rtd_data[[#This Row],[Group]],exch_map[Group],0)),"")</f>
        <v>CME</v>
      </c>
      <c r="E157" s="11" t="str" cm="1">
        <f t="array" aca="1" ref="E157" ca="1">IFERROR(INDEX(_xlfn.ANCHORARRAY(contracts!$A$6),ROW()-ROW(rtd_data[#Headers]),2),"")</f>
        <v>Y</v>
      </c>
      <c r="F15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7" t="str">
        <f ca="1">IF(rtd_data[[#This Row],[Exch]]="","",IF(rtd_data[[#This Row],[Exch]]="ICE_L","ICE",rtd_data[[#This Row],[Exch]]))</f>
        <v>CME</v>
      </c>
      <c r="I157" t="str">
        <f ca="1">IF(rtd_data[[#This Row],[Product]]="","",IFERROR(INDEX(exch_map[TT_Symbol],MATCH(rtd_data[[#This Row],[Group]],exch_map[Group],0))&amp;"",""))</f>
        <v>SR1</v>
      </c>
      <c r="J157" t="str">
        <f ca="1">IF(rtd_data[[#This Row],[Type]]="Future",PROPER(RIGHT(rtd_data[[#This Row],[Product]],5)),"")</f>
        <v>Oct26</v>
      </c>
    </row>
    <row r="158" spans="1:10" x14ac:dyDescent="0.25">
      <c r="A158" s="11" t="str" cm="1">
        <f t="array" aca="1" ref="A158" ca="1">IFERROR(INDEX(_xlfn.ANCHORARRAY(contracts!$A$6),ROW()-ROW(rtd_data[#Headers]),1),"")</f>
        <v>SR1 NOV26</v>
      </c>
      <c r="B1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8" t="str">
        <f ca="1">IF(rtd_data[[#This Row],[Product]]="","",IF(LEN(TRIM(rtd_data[[#This Row],[Product]]))-LEN(SUBSTITUTE(TRIM(rtd_data[[#This Row],[Product]])," ",""))&gt;=2,"Spread","Future"))</f>
        <v>Future</v>
      </c>
      <c r="D158" t="str">
        <f ca="1">IFERROR(INDEX(exch_map[Exch],MATCH(rtd_data[[#This Row],[Group]],exch_map[Group],0)),"")</f>
        <v>CME</v>
      </c>
      <c r="E158" s="11" t="str" cm="1">
        <f t="array" aca="1" ref="E158" ca="1">IFERROR(INDEX(_xlfn.ANCHORARRAY(contracts!$A$6),ROW()-ROW(rtd_data[#Headers]),2),"")</f>
        <v>Y</v>
      </c>
      <c r="F15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8" t="str">
        <f ca="1">IF(rtd_data[[#This Row],[Exch]]="","",IF(rtd_data[[#This Row],[Exch]]="ICE_L","ICE",rtd_data[[#This Row],[Exch]]))</f>
        <v>CME</v>
      </c>
      <c r="I158" t="str">
        <f ca="1">IF(rtd_data[[#This Row],[Product]]="","",IFERROR(INDEX(exch_map[TT_Symbol],MATCH(rtd_data[[#This Row],[Group]],exch_map[Group],0))&amp;"",""))</f>
        <v>SR1</v>
      </c>
      <c r="J158" t="str">
        <f ca="1">IF(rtd_data[[#This Row],[Type]]="Future",PROPER(RIGHT(rtd_data[[#This Row],[Product]],5)),"")</f>
        <v>Nov26</v>
      </c>
    </row>
    <row r="159" spans="1:10" x14ac:dyDescent="0.25">
      <c r="A159" s="11" t="str" cm="1">
        <f t="array" aca="1" ref="A159" ca="1">IFERROR(INDEX(_xlfn.ANCHORARRAY(contracts!$A$6),ROW()-ROW(rtd_data[#Headers]),1),"")</f>
        <v>SR1 DEC26</v>
      </c>
      <c r="B1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9" t="str">
        <f ca="1">IF(rtd_data[[#This Row],[Product]]="","",IF(LEN(TRIM(rtd_data[[#This Row],[Product]]))-LEN(SUBSTITUTE(TRIM(rtd_data[[#This Row],[Product]])," ",""))&gt;=2,"Spread","Future"))</f>
        <v>Future</v>
      </c>
      <c r="D159" t="str">
        <f ca="1">IFERROR(INDEX(exch_map[Exch],MATCH(rtd_data[[#This Row],[Group]],exch_map[Group],0)),"")</f>
        <v>CME</v>
      </c>
      <c r="E159" s="11" t="str" cm="1">
        <f t="array" aca="1" ref="E159" ca="1">IFERROR(INDEX(_xlfn.ANCHORARRAY(contracts!$A$6),ROW()-ROW(rtd_data[#Headers]),2),"")</f>
        <v>Y</v>
      </c>
      <c r="F15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5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59" t="str">
        <f ca="1">IF(rtd_data[[#This Row],[Exch]]="","",IF(rtd_data[[#This Row],[Exch]]="ICE_L","ICE",rtd_data[[#This Row],[Exch]]))</f>
        <v>CME</v>
      </c>
      <c r="I159" t="str">
        <f ca="1">IF(rtd_data[[#This Row],[Product]]="","",IFERROR(INDEX(exch_map[TT_Symbol],MATCH(rtd_data[[#This Row],[Group]],exch_map[Group],0))&amp;"",""))</f>
        <v>SR1</v>
      </c>
      <c r="J159" t="str">
        <f ca="1">IF(rtd_data[[#This Row],[Type]]="Future",PROPER(RIGHT(rtd_data[[#This Row],[Product]],5)),"")</f>
        <v>Dec26</v>
      </c>
    </row>
    <row r="160" spans="1:10" x14ac:dyDescent="0.25">
      <c r="A160" s="11" t="str" cm="1">
        <f t="array" aca="1" ref="A160" ca="1">IFERROR(INDEX(_xlfn.ANCHORARRAY(contracts!$A$6),ROW()-ROW(rtd_data[#Headers]),1),"")</f>
        <v>SR1 JAN27</v>
      </c>
      <c r="B1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0" t="str">
        <f ca="1">IF(rtd_data[[#This Row],[Product]]="","",IF(LEN(TRIM(rtd_data[[#This Row],[Product]]))-LEN(SUBSTITUTE(TRIM(rtd_data[[#This Row],[Product]])," ",""))&gt;=2,"Spread","Future"))</f>
        <v>Future</v>
      </c>
      <c r="D160" t="str">
        <f ca="1">IFERROR(INDEX(exch_map[Exch],MATCH(rtd_data[[#This Row],[Group]],exch_map[Group],0)),"")</f>
        <v>CME</v>
      </c>
      <c r="E160" s="11" t="str" cm="1">
        <f t="array" aca="1" ref="E160" ca="1">IFERROR(INDEX(_xlfn.ANCHORARRAY(contracts!$A$6),ROW()-ROW(rtd_data[#Headers]),2),"")</f>
        <v>Y</v>
      </c>
      <c r="F16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0" t="str">
        <f ca="1">IF(rtd_data[[#This Row],[Exch]]="","",IF(rtd_data[[#This Row],[Exch]]="ICE_L","ICE",rtd_data[[#This Row],[Exch]]))</f>
        <v>CME</v>
      </c>
      <c r="I160" t="str">
        <f ca="1">IF(rtd_data[[#This Row],[Product]]="","",IFERROR(INDEX(exch_map[TT_Symbol],MATCH(rtd_data[[#This Row],[Group]],exch_map[Group],0))&amp;"",""))</f>
        <v>SR1</v>
      </c>
      <c r="J160" t="str">
        <f ca="1">IF(rtd_data[[#This Row],[Type]]="Future",PROPER(RIGHT(rtd_data[[#This Row],[Product]],5)),"")</f>
        <v>Jan27</v>
      </c>
    </row>
    <row r="161" spans="1:10" x14ac:dyDescent="0.25">
      <c r="A161" s="11" t="str" cm="1">
        <f t="array" aca="1" ref="A161" ca="1">IFERROR(INDEX(_xlfn.ANCHORARRAY(contracts!$A$6),ROW()-ROW(rtd_data[#Headers]),1),"")</f>
        <v>SR1 FEB27</v>
      </c>
      <c r="B1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1" t="str">
        <f ca="1">IF(rtd_data[[#This Row],[Product]]="","",IF(LEN(TRIM(rtd_data[[#This Row],[Product]]))-LEN(SUBSTITUTE(TRIM(rtd_data[[#This Row],[Product]])," ",""))&gt;=2,"Spread","Future"))</f>
        <v>Future</v>
      </c>
      <c r="D161" t="str">
        <f ca="1">IFERROR(INDEX(exch_map[Exch],MATCH(rtd_data[[#This Row],[Group]],exch_map[Group],0)),"")</f>
        <v>CME</v>
      </c>
      <c r="E161" s="11" t="str" cm="1">
        <f t="array" aca="1" ref="E161" ca="1">IFERROR(INDEX(_xlfn.ANCHORARRAY(contracts!$A$6),ROW()-ROW(rtd_data[#Headers]),2),"")</f>
        <v>Y</v>
      </c>
      <c r="F16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1" t="str">
        <f ca="1">IF(rtd_data[[#This Row],[Exch]]="","",IF(rtd_data[[#This Row],[Exch]]="ICE_L","ICE",rtd_data[[#This Row],[Exch]]))</f>
        <v>CME</v>
      </c>
      <c r="I161" t="str">
        <f ca="1">IF(rtd_data[[#This Row],[Product]]="","",IFERROR(INDEX(exch_map[TT_Symbol],MATCH(rtd_data[[#This Row],[Group]],exch_map[Group],0))&amp;"",""))</f>
        <v>SR1</v>
      </c>
      <c r="J161" t="str">
        <f ca="1">IF(rtd_data[[#This Row],[Type]]="Future",PROPER(RIGHT(rtd_data[[#This Row],[Product]],5)),"")</f>
        <v>Feb27</v>
      </c>
    </row>
    <row r="162" spans="1:10" x14ac:dyDescent="0.25">
      <c r="A162" s="11" t="str" cm="1">
        <f t="array" aca="1" ref="A162" ca="1">IFERROR(INDEX(_xlfn.ANCHORARRAY(contracts!$A$6),ROW()-ROW(rtd_data[#Headers]),1),"")</f>
        <v>SR1 MAR27</v>
      </c>
      <c r="B1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2" t="str">
        <f ca="1">IF(rtd_data[[#This Row],[Product]]="","",IF(LEN(TRIM(rtd_data[[#This Row],[Product]]))-LEN(SUBSTITUTE(TRIM(rtd_data[[#This Row],[Product]])," ",""))&gt;=2,"Spread","Future"))</f>
        <v>Future</v>
      </c>
      <c r="D162" t="str">
        <f ca="1">IFERROR(INDEX(exch_map[Exch],MATCH(rtd_data[[#This Row],[Group]],exch_map[Group],0)),"")</f>
        <v>CME</v>
      </c>
      <c r="E162" s="11" t="str" cm="1">
        <f t="array" aca="1" ref="E162" ca="1">IFERROR(INDEX(_xlfn.ANCHORARRAY(contracts!$A$6),ROW()-ROW(rtd_data[#Headers]),2),"")</f>
        <v>Y</v>
      </c>
      <c r="F16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2" t="str">
        <f ca="1">IF(rtd_data[[#This Row],[Exch]]="","",IF(rtd_data[[#This Row],[Exch]]="ICE_L","ICE",rtd_data[[#This Row],[Exch]]))</f>
        <v>CME</v>
      </c>
      <c r="I162" t="str">
        <f ca="1">IF(rtd_data[[#This Row],[Product]]="","",IFERROR(INDEX(exch_map[TT_Symbol],MATCH(rtd_data[[#This Row],[Group]],exch_map[Group],0))&amp;"",""))</f>
        <v>SR1</v>
      </c>
      <c r="J162" t="str">
        <f ca="1">IF(rtd_data[[#This Row],[Type]]="Future",PROPER(RIGHT(rtd_data[[#This Row],[Product]],5)),"")</f>
        <v>Mar27</v>
      </c>
    </row>
    <row r="163" spans="1:10" x14ac:dyDescent="0.25">
      <c r="A163" s="11" t="str" cm="1">
        <f t="array" aca="1" ref="A163" ca="1">IFERROR(INDEX(_xlfn.ANCHORARRAY(contracts!$A$6),ROW()-ROW(rtd_data[#Headers]),1),"")</f>
        <v>SR1 APR27</v>
      </c>
      <c r="B1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3" t="str">
        <f ca="1">IF(rtd_data[[#This Row],[Product]]="","",IF(LEN(TRIM(rtd_data[[#This Row],[Product]]))-LEN(SUBSTITUTE(TRIM(rtd_data[[#This Row],[Product]])," ",""))&gt;=2,"Spread","Future"))</f>
        <v>Future</v>
      </c>
      <c r="D163" t="str">
        <f ca="1">IFERROR(INDEX(exch_map[Exch],MATCH(rtd_data[[#This Row],[Group]],exch_map[Group],0)),"")</f>
        <v>CME</v>
      </c>
      <c r="E163" s="11" t="str" cm="1">
        <f t="array" aca="1" ref="E163" ca="1">IFERROR(INDEX(_xlfn.ANCHORARRAY(contracts!$A$6),ROW()-ROW(rtd_data[#Headers]),2),"")</f>
        <v>Y</v>
      </c>
      <c r="F16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3" t="str">
        <f ca="1">IF(rtd_data[[#This Row],[Exch]]="","",IF(rtd_data[[#This Row],[Exch]]="ICE_L","ICE",rtd_data[[#This Row],[Exch]]))</f>
        <v>CME</v>
      </c>
      <c r="I163" t="str">
        <f ca="1">IF(rtd_data[[#This Row],[Product]]="","",IFERROR(INDEX(exch_map[TT_Symbol],MATCH(rtd_data[[#This Row],[Group]],exch_map[Group],0))&amp;"",""))</f>
        <v>SR1</v>
      </c>
      <c r="J163" t="str">
        <f ca="1">IF(rtd_data[[#This Row],[Type]]="Future",PROPER(RIGHT(rtd_data[[#This Row],[Product]],5)),"")</f>
        <v>Apr27</v>
      </c>
    </row>
    <row r="164" spans="1:10" x14ac:dyDescent="0.25">
      <c r="A164" s="11" t="str" cm="1">
        <f t="array" aca="1" ref="A164" ca="1">IFERROR(INDEX(_xlfn.ANCHORARRAY(contracts!$A$6),ROW()-ROW(rtd_data[#Headers]),1),"")</f>
        <v>SR1 MAY27</v>
      </c>
      <c r="B1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4" t="str">
        <f ca="1">IF(rtd_data[[#This Row],[Product]]="","",IF(LEN(TRIM(rtd_data[[#This Row],[Product]]))-LEN(SUBSTITUTE(TRIM(rtd_data[[#This Row],[Product]])," ",""))&gt;=2,"Spread","Future"))</f>
        <v>Future</v>
      </c>
      <c r="D164" t="str">
        <f ca="1">IFERROR(INDEX(exch_map[Exch],MATCH(rtd_data[[#This Row],[Group]],exch_map[Group],0)),"")</f>
        <v>CME</v>
      </c>
      <c r="E164" s="11" t="str" cm="1">
        <f t="array" aca="1" ref="E164" ca="1">IFERROR(INDEX(_xlfn.ANCHORARRAY(contracts!$A$6),ROW()-ROW(rtd_data[#Headers]),2),"")</f>
        <v>Y</v>
      </c>
      <c r="F16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4" t="str">
        <f ca="1">IF(rtd_data[[#This Row],[Exch]]="","",IF(rtd_data[[#This Row],[Exch]]="ICE_L","ICE",rtd_data[[#This Row],[Exch]]))</f>
        <v>CME</v>
      </c>
      <c r="I164" t="str">
        <f ca="1">IF(rtd_data[[#This Row],[Product]]="","",IFERROR(INDEX(exch_map[TT_Symbol],MATCH(rtd_data[[#This Row],[Group]],exch_map[Group],0))&amp;"",""))</f>
        <v>SR1</v>
      </c>
      <c r="J164" t="str">
        <f ca="1">IF(rtd_data[[#This Row],[Type]]="Future",PROPER(RIGHT(rtd_data[[#This Row],[Product]],5)),"")</f>
        <v>May27</v>
      </c>
    </row>
    <row r="165" spans="1:10" x14ac:dyDescent="0.25">
      <c r="A165" s="11" t="str" cm="1">
        <f t="array" aca="1" ref="A165" ca="1">IFERROR(INDEX(_xlfn.ANCHORARRAY(contracts!$A$6),ROW()-ROW(rtd_data[#Headers]),1),"")</f>
        <v>SR1 JUN27</v>
      </c>
      <c r="B1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5" t="str">
        <f ca="1">IF(rtd_data[[#This Row],[Product]]="","",IF(LEN(TRIM(rtd_data[[#This Row],[Product]]))-LEN(SUBSTITUTE(TRIM(rtd_data[[#This Row],[Product]])," ",""))&gt;=2,"Spread","Future"))</f>
        <v>Future</v>
      </c>
      <c r="D165" t="str">
        <f ca="1">IFERROR(INDEX(exch_map[Exch],MATCH(rtd_data[[#This Row],[Group]],exch_map[Group],0)),"")</f>
        <v>CME</v>
      </c>
      <c r="E165" s="11" t="str" cm="1">
        <f t="array" aca="1" ref="E165" ca="1">IFERROR(INDEX(_xlfn.ANCHORARRAY(contracts!$A$6),ROW()-ROW(rtd_data[#Headers]),2),"")</f>
        <v>Y</v>
      </c>
      <c r="F16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5" t="str">
        <f ca="1">IF(rtd_data[[#This Row],[Exch]]="","",IF(rtd_data[[#This Row],[Exch]]="ICE_L","ICE",rtd_data[[#This Row],[Exch]]))</f>
        <v>CME</v>
      </c>
      <c r="I165" t="str">
        <f ca="1">IF(rtd_data[[#This Row],[Product]]="","",IFERROR(INDEX(exch_map[TT_Symbol],MATCH(rtd_data[[#This Row],[Group]],exch_map[Group],0))&amp;"",""))</f>
        <v>SR1</v>
      </c>
      <c r="J165" t="str">
        <f ca="1">IF(rtd_data[[#This Row],[Type]]="Future",PROPER(RIGHT(rtd_data[[#This Row],[Product]],5)),"")</f>
        <v>Jun27</v>
      </c>
    </row>
    <row r="166" spans="1:10" x14ac:dyDescent="0.25">
      <c r="A166" s="11" t="str" cm="1">
        <f t="array" aca="1" ref="A166" ca="1">IFERROR(INDEX(_xlfn.ANCHORARRAY(contracts!$A$6),ROW()-ROW(rtd_data[#Headers]),1),"")</f>
        <v>SR1 JUL27</v>
      </c>
      <c r="B1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6" t="str">
        <f ca="1">IF(rtd_data[[#This Row],[Product]]="","",IF(LEN(TRIM(rtd_data[[#This Row],[Product]]))-LEN(SUBSTITUTE(TRIM(rtd_data[[#This Row],[Product]])," ",""))&gt;=2,"Spread","Future"))</f>
        <v>Future</v>
      </c>
      <c r="D166" t="str">
        <f ca="1">IFERROR(INDEX(exch_map[Exch],MATCH(rtd_data[[#This Row],[Group]],exch_map[Group],0)),"")</f>
        <v>CME</v>
      </c>
      <c r="E166" s="11" t="str" cm="1">
        <f t="array" aca="1" ref="E166" ca="1">IFERROR(INDEX(_xlfn.ANCHORARRAY(contracts!$A$6),ROW()-ROW(rtd_data[#Headers]),2),"")</f>
        <v>Y</v>
      </c>
      <c r="F16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6" t="str">
        <f ca="1">IF(rtd_data[[#This Row],[Exch]]="","",IF(rtd_data[[#This Row],[Exch]]="ICE_L","ICE",rtd_data[[#This Row],[Exch]]))</f>
        <v>CME</v>
      </c>
      <c r="I166" t="str">
        <f ca="1">IF(rtd_data[[#This Row],[Product]]="","",IFERROR(INDEX(exch_map[TT_Symbol],MATCH(rtd_data[[#This Row],[Group]],exch_map[Group],0))&amp;"",""))</f>
        <v>SR1</v>
      </c>
      <c r="J166" t="str">
        <f ca="1">IF(rtd_data[[#This Row],[Type]]="Future",PROPER(RIGHT(rtd_data[[#This Row],[Product]],5)),"")</f>
        <v>Jul27</v>
      </c>
    </row>
    <row r="167" spans="1:10" x14ac:dyDescent="0.25">
      <c r="A167" s="11" t="str" cm="1">
        <f t="array" aca="1" ref="A167" ca="1">IFERROR(INDEX(_xlfn.ANCHORARRAY(contracts!$A$6),ROW()-ROW(rtd_data[#Headers]),1),"")</f>
        <v>SR1 AUG27</v>
      </c>
      <c r="B1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7" t="str">
        <f ca="1">IF(rtd_data[[#This Row],[Product]]="","",IF(LEN(TRIM(rtd_data[[#This Row],[Product]]))-LEN(SUBSTITUTE(TRIM(rtd_data[[#This Row],[Product]])," ",""))&gt;=2,"Spread","Future"))</f>
        <v>Future</v>
      </c>
      <c r="D167" t="str">
        <f ca="1">IFERROR(INDEX(exch_map[Exch],MATCH(rtd_data[[#This Row],[Group]],exch_map[Group],0)),"")</f>
        <v>CME</v>
      </c>
      <c r="E167" s="11" t="str" cm="1">
        <f t="array" aca="1" ref="E167" ca="1">IFERROR(INDEX(_xlfn.ANCHORARRAY(contracts!$A$6),ROW()-ROW(rtd_data[#Headers]),2),"")</f>
        <v>Y</v>
      </c>
      <c r="F16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7" t="str">
        <f ca="1">IF(rtd_data[[#This Row],[Exch]]="","",IF(rtd_data[[#This Row],[Exch]]="ICE_L","ICE",rtd_data[[#This Row],[Exch]]))</f>
        <v>CME</v>
      </c>
      <c r="I167" t="str">
        <f ca="1">IF(rtd_data[[#This Row],[Product]]="","",IFERROR(INDEX(exch_map[TT_Symbol],MATCH(rtd_data[[#This Row],[Group]],exch_map[Group],0))&amp;"",""))</f>
        <v>SR1</v>
      </c>
      <c r="J167" t="str">
        <f ca="1">IF(rtd_data[[#This Row],[Type]]="Future",PROPER(RIGHT(rtd_data[[#This Row],[Product]],5)),"")</f>
        <v>Aug27</v>
      </c>
    </row>
    <row r="168" spans="1:10" x14ac:dyDescent="0.25">
      <c r="A168" s="11" t="str" cm="1">
        <f t="array" aca="1" ref="A168" ca="1">IFERROR(INDEX(_xlfn.ANCHORARRAY(contracts!$A$6),ROW()-ROW(rtd_data[#Headers]),1),"")</f>
        <v>SR1 SEP27</v>
      </c>
      <c r="B1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8" t="str">
        <f ca="1">IF(rtd_data[[#This Row],[Product]]="","",IF(LEN(TRIM(rtd_data[[#This Row],[Product]]))-LEN(SUBSTITUTE(TRIM(rtd_data[[#This Row],[Product]])," ",""))&gt;=2,"Spread","Future"))</f>
        <v>Future</v>
      </c>
      <c r="D168" t="str">
        <f ca="1">IFERROR(INDEX(exch_map[Exch],MATCH(rtd_data[[#This Row],[Group]],exch_map[Group],0)),"")</f>
        <v>CME</v>
      </c>
      <c r="E168" s="11" t="str" cm="1">
        <f t="array" aca="1" ref="E168" ca="1">IFERROR(INDEX(_xlfn.ANCHORARRAY(contracts!$A$6),ROW()-ROW(rtd_data[#Headers]),2),"")</f>
        <v>Y</v>
      </c>
      <c r="F16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8" t="str">
        <f ca="1">IF(rtd_data[[#This Row],[Exch]]="","",IF(rtd_data[[#This Row],[Exch]]="ICE_L","ICE",rtd_data[[#This Row],[Exch]]))</f>
        <v>CME</v>
      </c>
      <c r="I168" t="str">
        <f ca="1">IF(rtd_data[[#This Row],[Product]]="","",IFERROR(INDEX(exch_map[TT_Symbol],MATCH(rtd_data[[#This Row],[Group]],exch_map[Group],0))&amp;"",""))</f>
        <v>SR1</v>
      </c>
      <c r="J168" t="str">
        <f ca="1">IF(rtd_data[[#This Row],[Type]]="Future",PROPER(RIGHT(rtd_data[[#This Row],[Product]],5)),"")</f>
        <v>Sep27</v>
      </c>
    </row>
    <row r="169" spans="1:10" x14ac:dyDescent="0.25">
      <c r="A169" s="11" t="str" cm="1">
        <f t="array" aca="1" ref="A169" ca="1">IFERROR(INDEX(_xlfn.ANCHORARRAY(contracts!$A$6),ROW()-ROW(rtd_data[#Headers]),1),"")</f>
        <v>SR1 OCT27</v>
      </c>
      <c r="B1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9" t="str">
        <f ca="1">IF(rtd_data[[#This Row],[Product]]="","",IF(LEN(TRIM(rtd_data[[#This Row],[Product]]))-LEN(SUBSTITUTE(TRIM(rtd_data[[#This Row],[Product]])," ",""))&gt;=2,"Spread","Future"))</f>
        <v>Future</v>
      </c>
      <c r="D169" t="str">
        <f ca="1">IFERROR(INDEX(exch_map[Exch],MATCH(rtd_data[[#This Row],[Group]],exch_map[Group],0)),"")</f>
        <v>CME</v>
      </c>
      <c r="E169" s="11" t="str" cm="1">
        <f t="array" aca="1" ref="E169" ca="1">IFERROR(INDEX(_xlfn.ANCHORARRAY(contracts!$A$6),ROW()-ROW(rtd_data[#Headers]),2),"")</f>
        <v>Y</v>
      </c>
      <c r="F16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6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69" t="str">
        <f ca="1">IF(rtd_data[[#This Row],[Exch]]="","",IF(rtd_data[[#This Row],[Exch]]="ICE_L","ICE",rtd_data[[#This Row],[Exch]]))</f>
        <v>CME</v>
      </c>
      <c r="I169" t="str">
        <f ca="1">IF(rtd_data[[#This Row],[Product]]="","",IFERROR(INDEX(exch_map[TT_Symbol],MATCH(rtd_data[[#This Row],[Group]],exch_map[Group],0))&amp;"",""))</f>
        <v>SR1</v>
      </c>
      <c r="J169" t="str">
        <f ca="1">IF(rtd_data[[#This Row],[Type]]="Future",PROPER(RIGHT(rtd_data[[#This Row],[Product]],5)),"")</f>
        <v>Oct27</v>
      </c>
    </row>
    <row r="170" spans="1:10" x14ac:dyDescent="0.25">
      <c r="A170" s="11" t="str" cm="1">
        <f t="array" aca="1" ref="A170" ca="1">IFERROR(INDEX(_xlfn.ANCHORARRAY(contracts!$A$6),ROW()-ROW(rtd_data[#Headers]),1),"")</f>
        <v>SR1 NOV27</v>
      </c>
      <c r="B1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0" t="str">
        <f ca="1">IF(rtd_data[[#This Row],[Product]]="","",IF(LEN(TRIM(rtd_data[[#This Row],[Product]]))-LEN(SUBSTITUTE(TRIM(rtd_data[[#This Row],[Product]])," ",""))&gt;=2,"Spread","Future"))</f>
        <v>Future</v>
      </c>
      <c r="D170" t="str">
        <f ca="1">IFERROR(INDEX(exch_map[Exch],MATCH(rtd_data[[#This Row],[Group]],exch_map[Group],0)),"")</f>
        <v>CME</v>
      </c>
      <c r="E170" s="11" t="str" cm="1">
        <f t="array" aca="1" ref="E170" ca="1">IFERROR(INDEX(_xlfn.ANCHORARRAY(contracts!$A$6),ROW()-ROW(rtd_data[#Headers]),2),"")</f>
        <v>Y</v>
      </c>
      <c r="F17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0" t="str">
        <f ca="1">IF(rtd_data[[#This Row],[Exch]]="","",IF(rtd_data[[#This Row],[Exch]]="ICE_L","ICE",rtd_data[[#This Row],[Exch]]))</f>
        <v>CME</v>
      </c>
      <c r="I170" t="str">
        <f ca="1">IF(rtd_data[[#This Row],[Product]]="","",IFERROR(INDEX(exch_map[TT_Symbol],MATCH(rtd_data[[#This Row],[Group]],exch_map[Group],0))&amp;"",""))</f>
        <v>SR1</v>
      </c>
      <c r="J170" t="str">
        <f ca="1">IF(rtd_data[[#This Row],[Type]]="Future",PROPER(RIGHT(rtd_data[[#This Row],[Product]],5)),"")</f>
        <v>Nov27</v>
      </c>
    </row>
    <row r="171" spans="1:10" x14ac:dyDescent="0.25">
      <c r="A171" s="11" t="str" cm="1">
        <f t="array" aca="1" ref="A171" ca="1">IFERROR(INDEX(_xlfn.ANCHORARRAY(contracts!$A$6),ROW()-ROW(rtd_data[#Headers]),1),"")</f>
        <v>SR1 DEC27</v>
      </c>
      <c r="B1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1" t="str">
        <f ca="1">IF(rtd_data[[#This Row],[Product]]="","",IF(LEN(TRIM(rtd_data[[#This Row],[Product]]))-LEN(SUBSTITUTE(TRIM(rtd_data[[#This Row],[Product]])," ",""))&gt;=2,"Spread","Future"))</f>
        <v>Future</v>
      </c>
      <c r="D171" t="str">
        <f ca="1">IFERROR(INDEX(exch_map[Exch],MATCH(rtd_data[[#This Row],[Group]],exch_map[Group],0)),"")</f>
        <v>CME</v>
      </c>
      <c r="E171" s="11" t="str" cm="1">
        <f t="array" aca="1" ref="E171" ca="1">IFERROR(INDEX(_xlfn.ANCHORARRAY(contracts!$A$6),ROW()-ROW(rtd_data[#Headers]),2),"")</f>
        <v>Y</v>
      </c>
      <c r="F17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1" t="str">
        <f ca="1">IF(rtd_data[[#This Row],[Exch]]="","",IF(rtd_data[[#This Row],[Exch]]="ICE_L","ICE",rtd_data[[#This Row],[Exch]]))</f>
        <v>CME</v>
      </c>
      <c r="I171" t="str">
        <f ca="1">IF(rtd_data[[#This Row],[Product]]="","",IFERROR(INDEX(exch_map[TT_Symbol],MATCH(rtd_data[[#This Row],[Group]],exch_map[Group],0))&amp;"",""))</f>
        <v>SR1</v>
      </c>
      <c r="J171" t="str">
        <f ca="1">IF(rtd_data[[#This Row],[Type]]="Future",PROPER(RIGHT(rtd_data[[#This Row],[Product]],5)),"")</f>
        <v>Dec27</v>
      </c>
    </row>
    <row r="172" spans="1:10" x14ac:dyDescent="0.25">
      <c r="A172" s="11" t="str" cm="1">
        <f t="array" aca="1" ref="A172" ca="1">IFERROR(INDEX(_xlfn.ANCHORARRAY(contracts!$A$6),ROW()-ROW(rtd_data[#Headers]),1),"")</f>
        <v>SR1 JAN28</v>
      </c>
      <c r="B1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2" t="str">
        <f ca="1">IF(rtd_data[[#This Row],[Product]]="","",IF(LEN(TRIM(rtd_data[[#This Row],[Product]]))-LEN(SUBSTITUTE(TRIM(rtd_data[[#This Row],[Product]])," ",""))&gt;=2,"Spread","Future"))</f>
        <v>Future</v>
      </c>
      <c r="D172" t="str">
        <f ca="1">IFERROR(INDEX(exch_map[Exch],MATCH(rtd_data[[#This Row],[Group]],exch_map[Group],0)),"")</f>
        <v>CME</v>
      </c>
      <c r="E172" s="11" t="str" cm="1">
        <f t="array" aca="1" ref="E172" ca="1">IFERROR(INDEX(_xlfn.ANCHORARRAY(contracts!$A$6),ROW()-ROW(rtd_data[#Headers]),2),"")</f>
        <v>Y</v>
      </c>
      <c r="F17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2" t="str">
        <f ca="1">IF(rtd_data[[#This Row],[Exch]]="","",IF(rtd_data[[#This Row],[Exch]]="ICE_L","ICE",rtd_data[[#This Row],[Exch]]))</f>
        <v>CME</v>
      </c>
      <c r="I172" t="str">
        <f ca="1">IF(rtd_data[[#This Row],[Product]]="","",IFERROR(INDEX(exch_map[TT_Symbol],MATCH(rtd_data[[#This Row],[Group]],exch_map[Group],0))&amp;"",""))</f>
        <v>SR1</v>
      </c>
      <c r="J172" t="str">
        <f ca="1">IF(rtd_data[[#This Row],[Type]]="Future",PROPER(RIGHT(rtd_data[[#This Row],[Product]],5)),"")</f>
        <v>Jan28</v>
      </c>
    </row>
    <row r="173" spans="1:10" x14ac:dyDescent="0.25">
      <c r="A173" s="11" t="str" cm="1">
        <f t="array" aca="1" ref="A173" ca="1">IFERROR(INDEX(_xlfn.ANCHORARRAY(contracts!$A$6),ROW()-ROW(rtd_data[#Headers]),1),"")</f>
        <v>SR1 FEB28</v>
      </c>
      <c r="B1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3" t="str">
        <f ca="1">IF(rtd_data[[#This Row],[Product]]="","",IF(LEN(TRIM(rtd_data[[#This Row],[Product]]))-LEN(SUBSTITUTE(TRIM(rtd_data[[#This Row],[Product]])," ",""))&gt;=2,"Spread","Future"))</f>
        <v>Future</v>
      </c>
      <c r="D173" t="str">
        <f ca="1">IFERROR(INDEX(exch_map[Exch],MATCH(rtd_data[[#This Row],[Group]],exch_map[Group],0)),"")</f>
        <v>CME</v>
      </c>
      <c r="E173" s="11" t="str" cm="1">
        <f t="array" aca="1" ref="E173" ca="1">IFERROR(INDEX(_xlfn.ANCHORARRAY(contracts!$A$6),ROW()-ROW(rtd_data[#Headers]),2),"")</f>
        <v>Y</v>
      </c>
      <c r="F17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3" t="str">
        <f ca="1">IF(rtd_data[[#This Row],[Exch]]="","",IF(rtd_data[[#This Row],[Exch]]="ICE_L","ICE",rtd_data[[#This Row],[Exch]]))</f>
        <v>CME</v>
      </c>
      <c r="I173" t="str">
        <f ca="1">IF(rtd_data[[#This Row],[Product]]="","",IFERROR(INDEX(exch_map[TT_Symbol],MATCH(rtd_data[[#This Row],[Group]],exch_map[Group],0))&amp;"",""))</f>
        <v>SR1</v>
      </c>
      <c r="J173" t="str">
        <f ca="1">IF(rtd_data[[#This Row],[Type]]="Future",PROPER(RIGHT(rtd_data[[#This Row],[Product]],5)),"")</f>
        <v>Feb28</v>
      </c>
    </row>
    <row r="174" spans="1:10" x14ac:dyDescent="0.25">
      <c r="A174" s="11" t="str" cm="1">
        <f t="array" aca="1" ref="A174" ca="1">IFERROR(INDEX(_xlfn.ANCHORARRAY(contracts!$A$6),ROW()-ROW(rtd_data[#Headers]),1),"")</f>
        <v>SR1 MAR28</v>
      </c>
      <c r="B1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4" t="str">
        <f ca="1">IF(rtd_data[[#This Row],[Product]]="","",IF(LEN(TRIM(rtd_data[[#This Row],[Product]]))-LEN(SUBSTITUTE(TRIM(rtd_data[[#This Row],[Product]])," ",""))&gt;=2,"Spread","Future"))</f>
        <v>Future</v>
      </c>
      <c r="D174" t="str">
        <f ca="1">IFERROR(INDEX(exch_map[Exch],MATCH(rtd_data[[#This Row],[Group]],exch_map[Group],0)),"")</f>
        <v>CME</v>
      </c>
      <c r="E174" s="11" t="str" cm="1">
        <f t="array" aca="1" ref="E174" ca="1">IFERROR(INDEX(_xlfn.ANCHORARRAY(contracts!$A$6),ROW()-ROW(rtd_data[#Headers]),2),"")</f>
        <v>Y</v>
      </c>
      <c r="F17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7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74" t="str">
        <f ca="1">IF(rtd_data[[#This Row],[Exch]]="","",IF(rtd_data[[#This Row],[Exch]]="ICE_L","ICE",rtd_data[[#This Row],[Exch]]))</f>
        <v>CME</v>
      </c>
      <c r="I174" t="str">
        <f ca="1">IF(rtd_data[[#This Row],[Product]]="","",IFERROR(INDEX(exch_map[TT_Symbol],MATCH(rtd_data[[#This Row],[Group]],exch_map[Group],0))&amp;"",""))</f>
        <v>SR1</v>
      </c>
      <c r="J174" t="str">
        <f ca="1">IF(rtd_data[[#This Row],[Type]]="Future",PROPER(RIGHT(rtd_data[[#This Row],[Product]],5)),"")</f>
        <v>Mar28</v>
      </c>
    </row>
    <row r="175" spans="1:10" x14ac:dyDescent="0.25">
      <c r="A175" s="11" t="str" cm="1">
        <f t="array" aca="1" ref="A175" ca="1">IFERROR(INDEX(_xlfn.ANCHORARRAY(contracts!$A$6),ROW()-ROW(rtd_data[#Headers]),1),"")</f>
        <v>SR1 Oct26 - ZQ Oct26 Inter-Product</v>
      </c>
      <c r="B1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5" t="str">
        <f ca="1">IF(rtd_data[[#This Row],[Product]]="","",IF(LEN(TRIM(rtd_data[[#This Row],[Product]]))-LEN(SUBSTITUTE(TRIM(rtd_data[[#This Row],[Product]])," ",""))&gt;=2,"Spread","Future"))</f>
        <v>Spread</v>
      </c>
      <c r="D175" t="str">
        <f ca="1">IFERROR(INDEX(exch_map[Exch],MATCH(rtd_data[[#This Row],[Group]],exch_map[Group],0)),"")</f>
        <v>CME</v>
      </c>
      <c r="E175" s="11" t="str" cm="1">
        <f t="array" aca="1" ref="E175" ca="1">IFERROR(INDEX(_xlfn.ANCHORARRAY(contracts!$A$6),ROW()-ROW(rtd_data[#Headers]),2),"")</f>
        <v>Y</v>
      </c>
      <c r="F1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5" t="str">
        <f ca="1">IF(rtd_data[[#This Row],[Exch]]="","",IF(rtd_data[[#This Row],[Exch]]="ICE_L","ICE",rtd_data[[#This Row],[Exch]]))</f>
        <v>CME</v>
      </c>
      <c r="I175" t="str">
        <f ca="1">IF(rtd_data[[#This Row],[Product]]="","",IFERROR(INDEX(exch_map[TT_Symbol],MATCH(rtd_data[[#This Row],[Group]],exch_map[Group],0))&amp;"",""))</f>
        <v/>
      </c>
      <c r="J175" t="str">
        <f ca="1">IF(rtd_data[[#This Row],[Type]]="Future",PROPER(RIGHT(rtd_data[[#This Row],[Product]],5)),"")</f>
        <v/>
      </c>
    </row>
    <row r="176" spans="1:10" x14ac:dyDescent="0.25">
      <c r="A176" s="11" t="str" cm="1">
        <f t="array" aca="1" ref="A176" ca="1">IFERROR(INDEX(_xlfn.ANCHORARRAY(contracts!$A$6),ROW()-ROW(rtd_data[#Headers]),1),"")</f>
        <v>SR1 Nov26 - ZQ Nov26 Inter-Product</v>
      </c>
      <c r="B1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6" t="str">
        <f ca="1">IF(rtd_data[[#This Row],[Product]]="","",IF(LEN(TRIM(rtd_data[[#This Row],[Product]]))-LEN(SUBSTITUTE(TRIM(rtd_data[[#This Row],[Product]])," ",""))&gt;=2,"Spread","Future"))</f>
        <v>Spread</v>
      </c>
      <c r="D176" t="str">
        <f ca="1">IFERROR(INDEX(exch_map[Exch],MATCH(rtd_data[[#This Row],[Group]],exch_map[Group],0)),"")</f>
        <v>CME</v>
      </c>
      <c r="E176" s="11" t="str" cm="1">
        <f t="array" aca="1" ref="E176" ca="1">IFERROR(INDEX(_xlfn.ANCHORARRAY(contracts!$A$6),ROW()-ROW(rtd_data[#Headers]),2),"")</f>
        <v>Y</v>
      </c>
      <c r="F1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6" t="str">
        <f ca="1">IF(rtd_data[[#This Row],[Exch]]="","",IF(rtd_data[[#This Row],[Exch]]="ICE_L","ICE",rtd_data[[#This Row],[Exch]]))</f>
        <v>CME</v>
      </c>
      <c r="I176" t="str">
        <f ca="1">IF(rtd_data[[#This Row],[Product]]="","",IFERROR(INDEX(exch_map[TT_Symbol],MATCH(rtd_data[[#This Row],[Group]],exch_map[Group],0))&amp;"",""))</f>
        <v/>
      </c>
      <c r="J176" t="str">
        <f ca="1">IF(rtd_data[[#This Row],[Type]]="Future",PROPER(RIGHT(rtd_data[[#This Row],[Product]],5)),"")</f>
        <v/>
      </c>
    </row>
    <row r="177" spans="1:10" x14ac:dyDescent="0.25">
      <c r="A177" s="11" t="str" cm="1">
        <f t="array" aca="1" ref="A177" ca="1">IFERROR(INDEX(_xlfn.ANCHORARRAY(contracts!$A$6),ROW()-ROW(rtd_data[#Headers]),1),"")</f>
        <v>SR1 Dec26 - ZQ Dec26 Inter-Product</v>
      </c>
      <c r="B1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7" t="str">
        <f ca="1">IF(rtd_data[[#This Row],[Product]]="","",IF(LEN(TRIM(rtd_data[[#This Row],[Product]]))-LEN(SUBSTITUTE(TRIM(rtd_data[[#This Row],[Product]])," ",""))&gt;=2,"Spread","Future"))</f>
        <v>Spread</v>
      </c>
      <c r="D177" t="str">
        <f ca="1">IFERROR(INDEX(exch_map[Exch],MATCH(rtd_data[[#This Row],[Group]],exch_map[Group],0)),"")</f>
        <v>CME</v>
      </c>
      <c r="E177" s="11" t="str" cm="1">
        <f t="array" aca="1" ref="E177" ca="1">IFERROR(INDEX(_xlfn.ANCHORARRAY(contracts!$A$6),ROW()-ROW(rtd_data[#Headers]),2),"")</f>
        <v>Y</v>
      </c>
      <c r="F1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7" t="str">
        <f ca="1">IF(rtd_data[[#This Row],[Exch]]="","",IF(rtd_data[[#This Row],[Exch]]="ICE_L","ICE",rtd_data[[#This Row],[Exch]]))</f>
        <v>CME</v>
      </c>
      <c r="I177" t="str">
        <f ca="1">IF(rtd_data[[#This Row],[Product]]="","",IFERROR(INDEX(exch_map[TT_Symbol],MATCH(rtd_data[[#This Row],[Group]],exch_map[Group],0))&amp;"",""))</f>
        <v/>
      </c>
      <c r="J177" t="str">
        <f ca="1">IF(rtd_data[[#This Row],[Type]]="Future",PROPER(RIGHT(rtd_data[[#This Row],[Product]],5)),"")</f>
        <v/>
      </c>
    </row>
    <row r="178" spans="1:10" x14ac:dyDescent="0.25">
      <c r="A178" s="11" t="str" cm="1">
        <f t="array" aca="1" ref="A178" ca="1">IFERROR(INDEX(_xlfn.ANCHORARRAY(contracts!$A$6),ROW()-ROW(rtd_data[#Headers]),1),"")</f>
        <v>SR1 Jan27 - ZQ Jan27 Inter-Product</v>
      </c>
      <c r="B1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8" t="str">
        <f ca="1">IF(rtd_data[[#This Row],[Product]]="","",IF(LEN(TRIM(rtd_data[[#This Row],[Product]]))-LEN(SUBSTITUTE(TRIM(rtd_data[[#This Row],[Product]])," ",""))&gt;=2,"Spread","Future"))</f>
        <v>Spread</v>
      </c>
      <c r="D178" t="str">
        <f ca="1">IFERROR(INDEX(exch_map[Exch],MATCH(rtd_data[[#This Row],[Group]],exch_map[Group],0)),"")</f>
        <v>CME</v>
      </c>
      <c r="E178" s="11" t="str" cm="1">
        <f t="array" aca="1" ref="E178" ca="1">IFERROR(INDEX(_xlfn.ANCHORARRAY(contracts!$A$6),ROW()-ROW(rtd_data[#Headers]),2),"")</f>
        <v>Y</v>
      </c>
      <c r="F1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8" t="str">
        <f ca="1">IF(rtd_data[[#This Row],[Exch]]="","",IF(rtd_data[[#This Row],[Exch]]="ICE_L","ICE",rtd_data[[#This Row],[Exch]]))</f>
        <v>CME</v>
      </c>
      <c r="I178" t="str">
        <f ca="1">IF(rtd_data[[#This Row],[Product]]="","",IFERROR(INDEX(exch_map[TT_Symbol],MATCH(rtd_data[[#This Row],[Group]],exch_map[Group],0))&amp;"",""))</f>
        <v/>
      </c>
      <c r="J178" t="str">
        <f ca="1">IF(rtd_data[[#This Row],[Type]]="Future",PROPER(RIGHT(rtd_data[[#This Row],[Product]],5)),"")</f>
        <v/>
      </c>
    </row>
    <row r="179" spans="1:10" x14ac:dyDescent="0.25">
      <c r="A179" s="11" t="str" cm="1">
        <f t="array" aca="1" ref="A179" ca="1">IFERROR(INDEX(_xlfn.ANCHORARRAY(contracts!$A$6),ROW()-ROW(rtd_data[#Headers]),1),"")</f>
        <v>SR1 Feb27 - ZQ Feb27 Inter-Product</v>
      </c>
      <c r="B1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9" t="str">
        <f ca="1">IF(rtd_data[[#This Row],[Product]]="","",IF(LEN(TRIM(rtd_data[[#This Row],[Product]]))-LEN(SUBSTITUTE(TRIM(rtd_data[[#This Row],[Product]])," ",""))&gt;=2,"Spread","Future"))</f>
        <v>Spread</v>
      </c>
      <c r="D179" t="str">
        <f ca="1">IFERROR(INDEX(exch_map[Exch],MATCH(rtd_data[[#This Row],[Group]],exch_map[Group],0)),"")</f>
        <v>CME</v>
      </c>
      <c r="E179" s="11" t="str" cm="1">
        <f t="array" aca="1" ref="E179" ca="1">IFERROR(INDEX(_xlfn.ANCHORARRAY(contracts!$A$6),ROW()-ROW(rtd_data[#Headers]),2),"")</f>
        <v>Y</v>
      </c>
      <c r="F1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9" t="str">
        <f ca="1">IF(rtd_data[[#This Row],[Exch]]="","",IF(rtd_data[[#This Row],[Exch]]="ICE_L","ICE",rtd_data[[#This Row],[Exch]]))</f>
        <v>CME</v>
      </c>
      <c r="I179" t="str">
        <f ca="1">IF(rtd_data[[#This Row],[Product]]="","",IFERROR(INDEX(exch_map[TT_Symbol],MATCH(rtd_data[[#This Row],[Group]],exch_map[Group],0))&amp;"",""))</f>
        <v/>
      </c>
      <c r="J179" t="str">
        <f ca="1">IF(rtd_data[[#This Row],[Type]]="Future",PROPER(RIGHT(rtd_data[[#This Row],[Product]],5)),"")</f>
        <v/>
      </c>
    </row>
    <row r="180" spans="1:10" x14ac:dyDescent="0.25">
      <c r="A180" s="11" t="str" cm="1">
        <f t="array" aca="1" ref="A180" ca="1">IFERROR(INDEX(_xlfn.ANCHORARRAY(contracts!$A$6),ROW()-ROW(rtd_data[#Headers]),1),"")</f>
        <v>SR1 Mar27 - ZQ Mar27 Inter-Product</v>
      </c>
      <c r="B1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0" t="str">
        <f ca="1">IF(rtd_data[[#This Row],[Product]]="","",IF(LEN(TRIM(rtd_data[[#This Row],[Product]]))-LEN(SUBSTITUTE(TRIM(rtd_data[[#This Row],[Product]])," ",""))&gt;=2,"Spread","Future"))</f>
        <v>Spread</v>
      </c>
      <c r="D180" t="str">
        <f ca="1">IFERROR(INDEX(exch_map[Exch],MATCH(rtd_data[[#This Row],[Group]],exch_map[Group],0)),"")</f>
        <v>CME</v>
      </c>
      <c r="E180" s="11" t="str" cm="1">
        <f t="array" aca="1" ref="E180" ca="1">IFERROR(INDEX(_xlfn.ANCHORARRAY(contracts!$A$6),ROW()-ROW(rtd_data[#Headers]),2),"")</f>
        <v>Y</v>
      </c>
      <c r="F1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0" t="str">
        <f ca="1">IF(rtd_data[[#This Row],[Exch]]="","",IF(rtd_data[[#This Row],[Exch]]="ICE_L","ICE",rtd_data[[#This Row],[Exch]]))</f>
        <v>CME</v>
      </c>
      <c r="I180" t="str">
        <f ca="1">IF(rtd_data[[#This Row],[Product]]="","",IFERROR(INDEX(exch_map[TT_Symbol],MATCH(rtd_data[[#This Row],[Group]],exch_map[Group],0))&amp;"",""))</f>
        <v/>
      </c>
      <c r="J180" t="str">
        <f ca="1">IF(rtd_data[[#This Row],[Type]]="Future",PROPER(RIGHT(rtd_data[[#This Row],[Product]],5)),"")</f>
        <v/>
      </c>
    </row>
    <row r="181" spans="1:10" x14ac:dyDescent="0.25">
      <c r="A181" s="11" t="str" cm="1">
        <f t="array" aca="1" ref="A181" ca="1">IFERROR(INDEX(_xlfn.ANCHORARRAY(contracts!$A$6),ROW()-ROW(rtd_data[#Headers]),1),"")</f>
        <v>SR1 Apr27 - ZQ Apr27 Inter-Product</v>
      </c>
      <c r="B1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1" t="str">
        <f ca="1">IF(rtd_data[[#This Row],[Product]]="","",IF(LEN(TRIM(rtd_data[[#This Row],[Product]]))-LEN(SUBSTITUTE(TRIM(rtd_data[[#This Row],[Product]])," ",""))&gt;=2,"Spread","Future"))</f>
        <v>Spread</v>
      </c>
      <c r="D181" t="str">
        <f ca="1">IFERROR(INDEX(exch_map[Exch],MATCH(rtd_data[[#This Row],[Group]],exch_map[Group],0)),"")</f>
        <v>CME</v>
      </c>
      <c r="E181" s="11" t="str" cm="1">
        <f t="array" aca="1" ref="E181" ca="1">IFERROR(INDEX(_xlfn.ANCHORARRAY(contracts!$A$6),ROW()-ROW(rtd_data[#Headers]),2),"")</f>
        <v>Y</v>
      </c>
      <c r="F1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1" t="str">
        <f ca="1">IF(rtd_data[[#This Row],[Exch]]="","",IF(rtd_data[[#This Row],[Exch]]="ICE_L","ICE",rtd_data[[#This Row],[Exch]]))</f>
        <v>CME</v>
      </c>
      <c r="I181" t="str">
        <f ca="1">IF(rtd_data[[#This Row],[Product]]="","",IFERROR(INDEX(exch_map[TT_Symbol],MATCH(rtd_data[[#This Row],[Group]],exch_map[Group],0))&amp;"",""))</f>
        <v/>
      </c>
      <c r="J181" t="str">
        <f ca="1">IF(rtd_data[[#This Row],[Type]]="Future",PROPER(RIGHT(rtd_data[[#This Row],[Product]],5)),"")</f>
        <v/>
      </c>
    </row>
    <row r="182" spans="1:10" x14ac:dyDescent="0.25">
      <c r="A182" s="11" t="str" cm="1">
        <f t="array" aca="1" ref="A182" ca="1">IFERROR(INDEX(_xlfn.ANCHORARRAY(contracts!$A$6),ROW()-ROW(rtd_data[#Headers]),1),"")</f>
        <v>SR1 May27 - ZQ May27 Inter-Product</v>
      </c>
      <c r="B1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2" t="str">
        <f ca="1">IF(rtd_data[[#This Row],[Product]]="","",IF(LEN(TRIM(rtd_data[[#This Row],[Product]]))-LEN(SUBSTITUTE(TRIM(rtd_data[[#This Row],[Product]])," ",""))&gt;=2,"Spread","Future"))</f>
        <v>Spread</v>
      </c>
      <c r="D182" t="str">
        <f ca="1">IFERROR(INDEX(exch_map[Exch],MATCH(rtd_data[[#This Row],[Group]],exch_map[Group],0)),"")</f>
        <v>CME</v>
      </c>
      <c r="E182" s="11" t="str" cm="1">
        <f t="array" aca="1" ref="E182" ca="1">IFERROR(INDEX(_xlfn.ANCHORARRAY(contracts!$A$6),ROW()-ROW(rtd_data[#Headers]),2),"")</f>
        <v>Y</v>
      </c>
      <c r="F1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2" t="str">
        <f ca="1">IF(rtd_data[[#This Row],[Exch]]="","",IF(rtd_data[[#This Row],[Exch]]="ICE_L","ICE",rtd_data[[#This Row],[Exch]]))</f>
        <v>CME</v>
      </c>
      <c r="I182" t="str">
        <f ca="1">IF(rtd_data[[#This Row],[Product]]="","",IFERROR(INDEX(exch_map[TT_Symbol],MATCH(rtd_data[[#This Row],[Group]],exch_map[Group],0))&amp;"",""))</f>
        <v/>
      </c>
      <c r="J182" t="str">
        <f ca="1">IF(rtd_data[[#This Row],[Type]]="Future",PROPER(RIGHT(rtd_data[[#This Row],[Product]],5)),"")</f>
        <v/>
      </c>
    </row>
    <row r="183" spans="1:10" x14ac:dyDescent="0.25">
      <c r="A183" s="11" t="str" cm="1">
        <f t="array" aca="1" ref="A183" ca="1">IFERROR(INDEX(_xlfn.ANCHORARRAY(contracts!$A$6),ROW()-ROW(rtd_data[#Headers]),1),"")</f>
        <v>SR1 Jun27 - ZQ Jun27 Inter-Product</v>
      </c>
      <c r="B1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3" t="str">
        <f ca="1">IF(rtd_data[[#This Row],[Product]]="","",IF(LEN(TRIM(rtd_data[[#This Row],[Product]]))-LEN(SUBSTITUTE(TRIM(rtd_data[[#This Row],[Product]])," ",""))&gt;=2,"Spread","Future"))</f>
        <v>Spread</v>
      </c>
      <c r="D183" t="str">
        <f ca="1">IFERROR(INDEX(exch_map[Exch],MATCH(rtd_data[[#This Row],[Group]],exch_map[Group],0)),"")</f>
        <v>CME</v>
      </c>
      <c r="E183" s="11" t="str" cm="1">
        <f t="array" aca="1" ref="E183" ca="1">IFERROR(INDEX(_xlfn.ANCHORARRAY(contracts!$A$6),ROW()-ROW(rtd_data[#Headers]),2),"")</f>
        <v>Y</v>
      </c>
      <c r="F1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3" t="str">
        <f ca="1">IF(rtd_data[[#This Row],[Exch]]="","",IF(rtd_data[[#This Row],[Exch]]="ICE_L","ICE",rtd_data[[#This Row],[Exch]]))</f>
        <v>CME</v>
      </c>
      <c r="I183" t="str">
        <f ca="1">IF(rtd_data[[#This Row],[Product]]="","",IFERROR(INDEX(exch_map[TT_Symbol],MATCH(rtd_data[[#This Row],[Group]],exch_map[Group],0))&amp;"",""))</f>
        <v/>
      </c>
      <c r="J183" t="str">
        <f ca="1">IF(rtd_data[[#This Row],[Type]]="Future",PROPER(RIGHT(rtd_data[[#This Row],[Product]],5)),"")</f>
        <v/>
      </c>
    </row>
    <row r="184" spans="1:10" x14ac:dyDescent="0.25">
      <c r="A184" s="11" t="str" cm="1">
        <f t="array" aca="1" ref="A184" ca="1">IFERROR(INDEX(_xlfn.ANCHORARRAY(contracts!$A$6),ROW()-ROW(rtd_data[#Headers]),1),"")</f>
        <v>SR1 Jul27 - ZQ Jul27 Inter-Product</v>
      </c>
      <c r="B1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4" t="str">
        <f ca="1">IF(rtd_data[[#This Row],[Product]]="","",IF(LEN(TRIM(rtd_data[[#This Row],[Product]]))-LEN(SUBSTITUTE(TRIM(rtd_data[[#This Row],[Product]])," ",""))&gt;=2,"Spread","Future"))</f>
        <v>Spread</v>
      </c>
      <c r="D184" t="str">
        <f ca="1">IFERROR(INDEX(exch_map[Exch],MATCH(rtd_data[[#This Row],[Group]],exch_map[Group],0)),"")</f>
        <v>CME</v>
      </c>
      <c r="E184" s="11" t="str" cm="1">
        <f t="array" aca="1" ref="E184" ca="1">IFERROR(INDEX(_xlfn.ANCHORARRAY(contracts!$A$6),ROW()-ROW(rtd_data[#Headers]),2),"")</f>
        <v>Y</v>
      </c>
      <c r="F1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4" t="str">
        <f ca="1">IF(rtd_data[[#This Row],[Exch]]="","",IF(rtd_data[[#This Row],[Exch]]="ICE_L","ICE",rtd_data[[#This Row],[Exch]]))</f>
        <v>CME</v>
      </c>
      <c r="I184" t="str">
        <f ca="1">IF(rtd_data[[#This Row],[Product]]="","",IFERROR(INDEX(exch_map[TT_Symbol],MATCH(rtd_data[[#This Row],[Group]],exch_map[Group],0))&amp;"",""))</f>
        <v/>
      </c>
      <c r="J184" t="str">
        <f ca="1">IF(rtd_data[[#This Row],[Type]]="Future",PROPER(RIGHT(rtd_data[[#This Row],[Product]],5)),"")</f>
        <v/>
      </c>
    </row>
    <row r="185" spans="1:10" x14ac:dyDescent="0.25">
      <c r="A185" s="11" t="str" cm="1">
        <f t="array" aca="1" ref="A185" ca="1">IFERROR(INDEX(_xlfn.ANCHORARRAY(contracts!$A$6),ROW()-ROW(rtd_data[#Headers]),1),"")</f>
        <v>SR1 Aug27 - ZQ Aug27 Inter-Product</v>
      </c>
      <c r="B1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5" t="str">
        <f ca="1">IF(rtd_data[[#This Row],[Product]]="","",IF(LEN(TRIM(rtd_data[[#This Row],[Product]]))-LEN(SUBSTITUTE(TRIM(rtd_data[[#This Row],[Product]])," ",""))&gt;=2,"Spread","Future"))</f>
        <v>Spread</v>
      </c>
      <c r="D185" t="str">
        <f ca="1">IFERROR(INDEX(exch_map[Exch],MATCH(rtd_data[[#This Row],[Group]],exch_map[Group],0)),"")</f>
        <v>CME</v>
      </c>
      <c r="E185" s="11" t="str" cm="1">
        <f t="array" aca="1" ref="E185" ca="1">IFERROR(INDEX(_xlfn.ANCHORARRAY(contracts!$A$6),ROW()-ROW(rtd_data[#Headers]),2),"")</f>
        <v>Y</v>
      </c>
      <c r="F1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5" t="str">
        <f ca="1">IF(rtd_data[[#This Row],[Exch]]="","",IF(rtd_data[[#This Row],[Exch]]="ICE_L","ICE",rtd_data[[#This Row],[Exch]]))</f>
        <v>CME</v>
      </c>
      <c r="I185" t="str">
        <f ca="1">IF(rtd_data[[#This Row],[Product]]="","",IFERROR(INDEX(exch_map[TT_Symbol],MATCH(rtd_data[[#This Row],[Group]],exch_map[Group],0))&amp;"",""))</f>
        <v/>
      </c>
      <c r="J185" t="str">
        <f ca="1">IF(rtd_data[[#This Row],[Type]]="Future",PROPER(RIGHT(rtd_data[[#This Row],[Product]],5)),"")</f>
        <v/>
      </c>
    </row>
    <row r="186" spans="1:10" x14ac:dyDescent="0.25">
      <c r="A186" s="11" t="str" cm="1">
        <f t="array" aca="1" ref="A186" ca="1">IFERROR(INDEX(_xlfn.ANCHORARRAY(contracts!$A$6),ROW()-ROW(rtd_data[#Headers]),1),"")</f>
        <v>SR1 Sep27 - ZQ Sep27 Inter-Product</v>
      </c>
      <c r="B1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6" t="str">
        <f ca="1">IF(rtd_data[[#This Row],[Product]]="","",IF(LEN(TRIM(rtd_data[[#This Row],[Product]]))-LEN(SUBSTITUTE(TRIM(rtd_data[[#This Row],[Product]])," ",""))&gt;=2,"Spread","Future"))</f>
        <v>Spread</v>
      </c>
      <c r="D186" t="str">
        <f ca="1">IFERROR(INDEX(exch_map[Exch],MATCH(rtd_data[[#This Row],[Group]],exch_map[Group],0)),"")</f>
        <v>CME</v>
      </c>
      <c r="E186" s="11" t="str" cm="1">
        <f t="array" aca="1" ref="E186" ca="1">IFERROR(INDEX(_xlfn.ANCHORARRAY(contracts!$A$6),ROW()-ROW(rtd_data[#Headers]),2),"")</f>
        <v>Y</v>
      </c>
      <c r="F1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6" t="str">
        <f ca="1">IF(rtd_data[[#This Row],[Exch]]="","",IF(rtd_data[[#This Row],[Exch]]="ICE_L","ICE",rtd_data[[#This Row],[Exch]]))</f>
        <v>CME</v>
      </c>
      <c r="I186" t="str">
        <f ca="1">IF(rtd_data[[#This Row],[Product]]="","",IFERROR(INDEX(exch_map[TT_Symbol],MATCH(rtd_data[[#This Row],[Group]],exch_map[Group],0))&amp;"",""))</f>
        <v/>
      </c>
      <c r="J186" t="str">
        <f ca="1">IF(rtd_data[[#This Row],[Type]]="Future",PROPER(RIGHT(rtd_data[[#This Row],[Product]],5)),"")</f>
        <v/>
      </c>
    </row>
    <row r="187" spans="1:10" x14ac:dyDescent="0.25">
      <c r="A187" s="11" t="str" cm="1">
        <f t="array" aca="1" ref="A187" ca="1">IFERROR(INDEX(_xlfn.ANCHORARRAY(contracts!$A$6),ROW()-ROW(rtd_data[#Headers]),1),"")</f>
        <v>SR1 Oct27 - ZQ Oct27 Inter-Product</v>
      </c>
      <c r="B1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7" t="str">
        <f ca="1">IF(rtd_data[[#This Row],[Product]]="","",IF(LEN(TRIM(rtd_data[[#This Row],[Product]]))-LEN(SUBSTITUTE(TRIM(rtd_data[[#This Row],[Product]])," ",""))&gt;=2,"Spread","Future"))</f>
        <v>Spread</v>
      </c>
      <c r="D187" t="str">
        <f ca="1">IFERROR(INDEX(exch_map[Exch],MATCH(rtd_data[[#This Row],[Group]],exch_map[Group],0)),"")</f>
        <v>CME</v>
      </c>
      <c r="E187" s="11" t="str" cm="1">
        <f t="array" aca="1" ref="E187" ca="1">IFERROR(INDEX(_xlfn.ANCHORARRAY(contracts!$A$6),ROW()-ROW(rtd_data[#Headers]),2),"")</f>
        <v>Y</v>
      </c>
      <c r="F1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7" t="str">
        <f ca="1">IF(rtd_data[[#This Row],[Exch]]="","",IF(rtd_data[[#This Row],[Exch]]="ICE_L","ICE",rtd_data[[#This Row],[Exch]]))</f>
        <v>CME</v>
      </c>
      <c r="I187" t="str">
        <f ca="1">IF(rtd_data[[#This Row],[Product]]="","",IFERROR(INDEX(exch_map[TT_Symbol],MATCH(rtd_data[[#This Row],[Group]],exch_map[Group],0))&amp;"",""))</f>
        <v/>
      </c>
      <c r="J187" t="str">
        <f ca="1">IF(rtd_data[[#This Row],[Type]]="Future",PROPER(RIGHT(rtd_data[[#This Row],[Product]],5)),"")</f>
        <v/>
      </c>
    </row>
    <row r="188" spans="1:10" x14ac:dyDescent="0.25">
      <c r="A188" s="11" t="str" cm="1">
        <f t="array" aca="1" ref="A188" ca="1">IFERROR(INDEX(_xlfn.ANCHORARRAY(contracts!$A$6),ROW()-ROW(rtd_data[#Headers]),1),"")</f>
        <v>SR1 Nov27 - ZQ Nov27 Inter-Product</v>
      </c>
      <c r="B1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8" t="str">
        <f ca="1">IF(rtd_data[[#This Row],[Product]]="","",IF(LEN(TRIM(rtd_data[[#This Row],[Product]]))-LEN(SUBSTITUTE(TRIM(rtd_data[[#This Row],[Product]])," ",""))&gt;=2,"Spread","Future"))</f>
        <v>Spread</v>
      </c>
      <c r="D188" t="str">
        <f ca="1">IFERROR(INDEX(exch_map[Exch],MATCH(rtd_data[[#This Row],[Group]],exch_map[Group],0)),"")</f>
        <v>CME</v>
      </c>
      <c r="E188" s="11" t="str" cm="1">
        <f t="array" aca="1" ref="E188" ca="1">IFERROR(INDEX(_xlfn.ANCHORARRAY(contracts!$A$6),ROW()-ROW(rtd_data[#Headers]),2),"")</f>
        <v>Y</v>
      </c>
      <c r="F1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8" t="str">
        <f ca="1">IF(rtd_data[[#This Row],[Exch]]="","",IF(rtd_data[[#This Row],[Exch]]="ICE_L","ICE",rtd_data[[#This Row],[Exch]]))</f>
        <v>CME</v>
      </c>
      <c r="I188" t="str">
        <f ca="1">IF(rtd_data[[#This Row],[Product]]="","",IFERROR(INDEX(exch_map[TT_Symbol],MATCH(rtd_data[[#This Row],[Group]],exch_map[Group],0))&amp;"",""))</f>
        <v/>
      </c>
      <c r="J188" t="str">
        <f ca="1">IF(rtd_data[[#This Row],[Type]]="Future",PROPER(RIGHT(rtd_data[[#This Row],[Product]],5)),"")</f>
        <v/>
      </c>
    </row>
    <row r="189" spans="1:10" x14ac:dyDescent="0.25">
      <c r="A189" s="11" t="str" cm="1">
        <f t="array" aca="1" ref="A189" ca="1">IFERROR(INDEX(_xlfn.ANCHORARRAY(contracts!$A$6),ROW()-ROW(rtd_data[#Headers]),1),"")</f>
        <v>SR1 Dec27 - ZQ Dec27 Inter-Product</v>
      </c>
      <c r="B1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9" t="str">
        <f ca="1">IF(rtd_data[[#This Row],[Product]]="","",IF(LEN(TRIM(rtd_data[[#This Row],[Product]]))-LEN(SUBSTITUTE(TRIM(rtd_data[[#This Row],[Product]])," ",""))&gt;=2,"Spread","Future"))</f>
        <v>Spread</v>
      </c>
      <c r="D189" t="str">
        <f ca="1">IFERROR(INDEX(exch_map[Exch],MATCH(rtd_data[[#This Row],[Group]],exch_map[Group],0)),"")</f>
        <v>CME</v>
      </c>
      <c r="E189" s="11" t="str" cm="1">
        <f t="array" aca="1" ref="E189" ca="1">IFERROR(INDEX(_xlfn.ANCHORARRAY(contracts!$A$6),ROW()-ROW(rtd_data[#Headers]),2),"")</f>
        <v>Y</v>
      </c>
      <c r="F1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9" t="str">
        <f ca="1">IF(rtd_data[[#This Row],[Exch]]="","",IF(rtd_data[[#This Row],[Exch]]="ICE_L","ICE",rtd_data[[#This Row],[Exch]]))</f>
        <v>CME</v>
      </c>
      <c r="I189" t="str">
        <f ca="1">IF(rtd_data[[#This Row],[Product]]="","",IFERROR(INDEX(exch_map[TT_Symbol],MATCH(rtd_data[[#This Row],[Group]],exch_map[Group],0))&amp;"",""))</f>
        <v/>
      </c>
      <c r="J189" t="str">
        <f ca="1">IF(rtd_data[[#This Row],[Type]]="Future",PROPER(RIGHT(rtd_data[[#This Row],[Product]],5)),"")</f>
        <v/>
      </c>
    </row>
    <row r="190" spans="1:10" x14ac:dyDescent="0.25">
      <c r="A190" s="11" t="str" cm="1">
        <f t="array" aca="1" ref="A190" ca="1">IFERROR(INDEX(_xlfn.ANCHORARRAY(contracts!$A$6),ROW()-ROW(rtd_data[#Headers]),1),"")</f>
        <v>SR1 Jan28 - ZQ Jan28 Inter-Product</v>
      </c>
      <c r="B1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0" t="str">
        <f ca="1">IF(rtd_data[[#This Row],[Product]]="","",IF(LEN(TRIM(rtd_data[[#This Row],[Product]]))-LEN(SUBSTITUTE(TRIM(rtd_data[[#This Row],[Product]])," ",""))&gt;=2,"Spread","Future"))</f>
        <v>Spread</v>
      </c>
      <c r="D190" t="str">
        <f ca="1">IFERROR(INDEX(exch_map[Exch],MATCH(rtd_data[[#This Row],[Group]],exch_map[Group],0)),"")</f>
        <v>CME</v>
      </c>
      <c r="E190" s="11" t="str" cm="1">
        <f t="array" aca="1" ref="E190" ca="1">IFERROR(INDEX(_xlfn.ANCHORARRAY(contracts!$A$6),ROW()-ROW(rtd_data[#Headers]),2),"")</f>
        <v>Y</v>
      </c>
      <c r="F1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0" t="str">
        <f ca="1">IF(rtd_data[[#This Row],[Exch]]="","",IF(rtd_data[[#This Row],[Exch]]="ICE_L","ICE",rtd_data[[#This Row],[Exch]]))</f>
        <v>CME</v>
      </c>
      <c r="I190" t="str">
        <f ca="1">IF(rtd_data[[#This Row],[Product]]="","",IFERROR(INDEX(exch_map[TT_Symbol],MATCH(rtd_data[[#This Row],[Group]],exch_map[Group],0))&amp;"",""))</f>
        <v/>
      </c>
      <c r="J190" t="str">
        <f ca="1">IF(rtd_data[[#This Row],[Type]]="Future",PROPER(RIGHT(rtd_data[[#This Row],[Product]],5)),"")</f>
        <v/>
      </c>
    </row>
    <row r="191" spans="1:10" x14ac:dyDescent="0.25">
      <c r="A191" s="11" t="str" cm="1">
        <f t="array" aca="1" ref="A191" ca="1">IFERROR(INDEX(_xlfn.ANCHORARRAY(contracts!$A$6),ROW()-ROW(rtd_data[#Headers]),1),"")</f>
        <v>SR1 Feb28 - ZQ Feb28 Inter-Product</v>
      </c>
      <c r="B1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1" t="str">
        <f ca="1">IF(rtd_data[[#This Row],[Product]]="","",IF(LEN(TRIM(rtd_data[[#This Row],[Product]]))-LEN(SUBSTITUTE(TRIM(rtd_data[[#This Row],[Product]])," ",""))&gt;=2,"Spread","Future"))</f>
        <v>Spread</v>
      </c>
      <c r="D191" t="str">
        <f ca="1">IFERROR(INDEX(exch_map[Exch],MATCH(rtd_data[[#This Row],[Group]],exch_map[Group],0)),"")</f>
        <v>CME</v>
      </c>
      <c r="E191" s="11" t="str" cm="1">
        <f t="array" aca="1" ref="E191" ca="1">IFERROR(INDEX(_xlfn.ANCHORARRAY(contracts!$A$6),ROW()-ROW(rtd_data[#Headers]),2),"")</f>
        <v>Y</v>
      </c>
      <c r="F1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1" t="str">
        <f ca="1">IF(rtd_data[[#This Row],[Exch]]="","",IF(rtd_data[[#This Row],[Exch]]="ICE_L","ICE",rtd_data[[#This Row],[Exch]]))</f>
        <v>CME</v>
      </c>
      <c r="I191" t="str">
        <f ca="1">IF(rtd_data[[#This Row],[Product]]="","",IFERROR(INDEX(exch_map[TT_Symbol],MATCH(rtd_data[[#This Row],[Group]],exch_map[Group],0))&amp;"",""))</f>
        <v/>
      </c>
      <c r="J191" t="str">
        <f ca="1">IF(rtd_data[[#This Row],[Type]]="Future",PROPER(RIGHT(rtd_data[[#This Row],[Product]],5)),"")</f>
        <v/>
      </c>
    </row>
    <row r="192" spans="1:10" x14ac:dyDescent="0.25">
      <c r="A192" s="11" t="str" cm="1">
        <f t="array" aca="1" ref="A192" ca="1">IFERROR(INDEX(_xlfn.ANCHORARRAY(contracts!$A$6),ROW()-ROW(rtd_data[#Headers]),1),"")</f>
        <v>SR1 Mar28 - ZQ Mar28 Inter-Product</v>
      </c>
      <c r="B1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2" t="str">
        <f ca="1">IF(rtd_data[[#This Row],[Product]]="","",IF(LEN(TRIM(rtd_data[[#This Row],[Product]]))-LEN(SUBSTITUTE(TRIM(rtd_data[[#This Row],[Product]])," ",""))&gt;=2,"Spread","Future"))</f>
        <v>Spread</v>
      </c>
      <c r="D192" t="str">
        <f ca="1">IFERROR(INDEX(exch_map[Exch],MATCH(rtd_data[[#This Row],[Group]],exch_map[Group],0)),"")</f>
        <v>CME</v>
      </c>
      <c r="E192" s="11" t="str" cm="1">
        <f t="array" aca="1" ref="E192" ca="1">IFERROR(INDEX(_xlfn.ANCHORARRAY(contracts!$A$6),ROW()-ROW(rtd_data[#Headers]),2),"")</f>
        <v>Y</v>
      </c>
      <c r="F1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2" t="str">
        <f ca="1">IF(rtd_data[[#This Row],[Exch]]="","",IF(rtd_data[[#This Row],[Exch]]="ICE_L","ICE",rtd_data[[#This Row],[Exch]]))</f>
        <v>CME</v>
      </c>
      <c r="I192" t="str">
        <f ca="1">IF(rtd_data[[#This Row],[Product]]="","",IFERROR(INDEX(exch_map[TT_Symbol],MATCH(rtd_data[[#This Row],[Group]],exch_map[Group],0))&amp;"",""))</f>
        <v/>
      </c>
      <c r="J192" t="str">
        <f ca="1">IF(rtd_data[[#This Row],[Type]]="Future",PROPER(RIGHT(rtd_data[[#This Row],[Product]],5)),"")</f>
        <v/>
      </c>
    </row>
    <row r="193" spans="1:10" x14ac:dyDescent="0.25">
      <c r="A193" s="11" t="str" cm="1">
        <f t="array" aca="1" ref="A193" ca="1">IFERROR(INDEX(_xlfn.ANCHORARRAY(contracts!$A$6),ROW()-ROW(rtd_data[#Headers]),1),"")</f>
        <v>SR3 OCT26</v>
      </c>
      <c r="B1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3" t="str">
        <f ca="1">IF(rtd_data[[#This Row],[Product]]="","",IF(LEN(TRIM(rtd_data[[#This Row],[Product]]))-LEN(SUBSTITUTE(TRIM(rtd_data[[#This Row],[Product]])," ",""))&gt;=2,"Spread","Future"))</f>
        <v>Future</v>
      </c>
      <c r="D193" t="str">
        <f ca="1">IFERROR(INDEX(exch_map[Exch],MATCH(rtd_data[[#This Row],[Group]],exch_map[Group],0)),"")</f>
        <v>CME</v>
      </c>
      <c r="E193" s="11" t="str" cm="1">
        <f t="array" aca="1" ref="E193" ca="1">IFERROR(INDEX(_xlfn.ANCHORARRAY(contracts!$A$6),ROW()-ROW(rtd_data[#Headers]),2),"")</f>
        <v>Y</v>
      </c>
      <c r="F19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3" t="str">
        <f ca="1">IF(rtd_data[[#This Row],[Exch]]="","",IF(rtd_data[[#This Row],[Exch]]="ICE_L","ICE",rtd_data[[#This Row],[Exch]]))</f>
        <v>CME</v>
      </c>
      <c r="I193" t="str">
        <f ca="1">IF(rtd_data[[#This Row],[Product]]="","",IFERROR(INDEX(exch_map[TT_Symbol],MATCH(rtd_data[[#This Row],[Group]],exch_map[Group],0))&amp;"",""))</f>
        <v>SR3</v>
      </c>
      <c r="J193" t="str">
        <f ca="1">IF(rtd_data[[#This Row],[Type]]="Future",PROPER(RIGHT(rtd_data[[#This Row],[Product]],5)),"")</f>
        <v>Oct26</v>
      </c>
    </row>
    <row r="194" spans="1:10" x14ac:dyDescent="0.25">
      <c r="A194" s="11" t="str" cm="1">
        <f t="array" aca="1" ref="A194" ca="1">IFERROR(INDEX(_xlfn.ANCHORARRAY(contracts!$A$6),ROW()-ROW(rtd_data[#Headers]),1),"")</f>
        <v>SR3 NOV26</v>
      </c>
      <c r="B1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4" t="str">
        <f ca="1">IF(rtd_data[[#This Row],[Product]]="","",IF(LEN(TRIM(rtd_data[[#This Row],[Product]]))-LEN(SUBSTITUTE(TRIM(rtd_data[[#This Row],[Product]])," ",""))&gt;=2,"Spread","Future"))</f>
        <v>Future</v>
      </c>
      <c r="D194" t="str">
        <f ca="1">IFERROR(INDEX(exch_map[Exch],MATCH(rtd_data[[#This Row],[Group]],exch_map[Group],0)),"")</f>
        <v>CME</v>
      </c>
      <c r="E194" s="11" t="str" cm="1">
        <f t="array" aca="1" ref="E194" ca="1">IFERROR(INDEX(_xlfn.ANCHORARRAY(contracts!$A$6),ROW()-ROW(rtd_data[#Headers]),2),"")</f>
        <v>Y</v>
      </c>
      <c r="F19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4" t="str">
        <f ca="1">IF(rtd_data[[#This Row],[Exch]]="","",IF(rtd_data[[#This Row],[Exch]]="ICE_L","ICE",rtd_data[[#This Row],[Exch]]))</f>
        <v>CME</v>
      </c>
      <c r="I194" t="str">
        <f ca="1">IF(rtd_data[[#This Row],[Product]]="","",IFERROR(INDEX(exch_map[TT_Symbol],MATCH(rtd_data[[#This Row],[Group]],exch_map[Group],0))&amp;"",""))</f>
        <v>SR3</v>
      </c>
      <c r="J194" t="str">
        <f ca="1">IF(rtd_data[[#This Row],[Type]]="Future",PROPER(RIGHT(rtd_data[[#This Row],[Product]],5)),"")</f>
        <v>Nov26</v>
      </c>
    </row>
    <row r="195" spans="1:10" x14ac:dyDescent="0.25">
      <c r="A195" s="11" t="str" cm="1">
        <f t="array" aca="1" ref="A195" ca="1">IFERROR(INDEX(_xlfn.ANCHORARRAY(contracts!$A$6),ROW()-ROW(rtd_data[#Headers]),1),"")</f>
        <v>SR3 DEC26</v>
      </c>
      <c r="B1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5" t="str">
        <f ca="1">IF(rtd_data[[#This Row],[Product]]="","",IF(LEN(TRIM(rtd_data[[#This Row],[Product]]))-LEN(SUBSTITUTE(TRIM(rtd_data[[#This Row],[Product]])," ",""))&gt;=2,"Spread","Future"))</f>
        <v>Future</v>
      </c>
      <c r="D195" t="str">
        <f ca="1">IFERROR(INDEX(exch_map[Exch],MATCH(rtd_data[[#This Row],[Group]],exch_map[Group],0)),"")</f>
        <v>CME</v>
      </c>
      <c r="E195" s="11" t="str" cm="1">
        <f t="array" aca="1" ref="E195" ca="1">IFERROR(INDEX(_xlfn.ANCHORARRAY(contracts!$A$6),ROW()-ROW(rtd_data[#Headers]),2),"")</f>
        <v>Y</v>
      </c>
      <c r="F19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5" t="str">
        <f ca="1">IF(rtd_data[[#This Row],[Exch]]="","",IF(rtd_data[[#This Row],[Exch]]="ICE_L","ICE",rtd_data[[#This Row],[Exch]]))</f>
        <v>CME</v>
      </c>
      <c r="I195" t="str">
        <f ca="1">IF(rtd_data[[#This Row],[Product]]="","",IFERROR(INDEX(exch_map[TT_Symbol],MATCH(rtd_data[[#This Row],[Group]],exch_map[Group],0))&amp;"",""))</f>
        <v>SR3</v>
      </c>
      <c r="J195" t="str">
        <f ca="1">IF(rtd_data[[#This Row],[Type]]="Future",PROPER(RIGHT(rtd_data[[#This Row],[Product]],5)),"")</f>
        <v>Dec26</v>
      </c>
    </row>
    <row r="196" spans="1:10" x14ac:dyDescent="0.25">
      <c r="A196" s="11" t="str" cm="1">
        <f t="array" aca="1" ref="A196" ca="1">IFERROR(INDEX(_xlfn.ANCHORARRAY(contracts!$A$6),ROW()-ROW(rtd_data[#Headers]),1),"")</f>
        <v>SR3 JAN27</v>
      </c>
      <c r="B1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6" t="str">
        <f ca="1">IF(rtd_data[[#This Row],[Product]]="","",IF(LEN(TRIM(rtd_data[[#This Row],[Product]]))-LEN(SUBSTITUTE(TRIM(rtd_data[[#This Row],[Product]])," ",""))&gt;=2,"Spread","Future"))</f>
        <v>Future</v>
      </c>
      <c r="D196" t="str">
        <f ca="1">IFERROR(INDEX(exch_map[Exch],MATCH(rtd_data[[#This Row],[Group]],exch_map[Group],0)),"")</f>
        <v>CME</v>
      </c>
      <c r="E196" s="11" t="str" cm="1">
        <f t="array" aca="1" ref="E196" ca="1">IFERROR(INDEX(_xlfn.ANCHORARRAY(contracts!$A$6),ROW()-ROW(rtd_data[#Headers]),2),"")</f>
        <v>Y</v>
      </c>
      <c r="F19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6" t="str">
        <f ca="1">IF(rtd_data[[#This Row],[Exch]]="","",IF(rtd_data[[#This Row],[Exch]]="ICE_L","ICE",rtd_data[[#This Row],[Exch]]))</f>
        <v>CME</v>
      </c>
      <c r="I196" t="str">
        <f ca="1">IF(rtd_data[[#This Row],[Product]]="","",IFERROR(INDEX(exch_map[TT_Symbol],MATCH(rtd_data[[#This Row],[Group]],exch_map[Group],0))&amp;"",""))</f>
        <v>SR3</v>
      </c>
      <c r="J196" t="str">
        <f ca="1">IF(rtd_data[[#This Row],[Type]]="Future",PROPER(RIGHT(rtd_data[[#This Row],[Product]],5)),"")</f>
        <v>Jan27</v>
      </c>
    </row>
    <row r="197" spans="1:10" x14ac:dyDescent="0.25">
      <c r="A197" s="11" t="str" cm="1">
        <f t="array" aca="1" ref="A197" ca="1">IFERROR(INDEX(_xlfn.ANCHORARRAY(contracts!$A$6),ROW()-ROW(rtd_data[#Headers]),1),"")</f>
        <v>SR3 FEB27</v>
      </c>
      <c r="B1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7" t="str">
        <f ca="1">IF(rtd_data[[#This Row],[Product]]="","",IF(LEN(TRIM(rtd_data[[#This Row],[Product]]))-LEN(SUBSTITUTE(TRIM(rtd_data[[#This Row],[Product]])," ",""))&gt;=2,"Spread","Future"))</f>
        <v>Future</v>
      </c>
      <c r="D197" t="str">
        <f ca="1">IFERROR(INDEX(exch_map[Exch],MATCH(rtd_data[[#This Row],[Group]],exch_map[Group],0)),"")</f>
        <v>CME</v>
      </c>
      <c r="E197" s="11" t="str" cm="1">
        <f t="array" aca="1" ref="E197" ca="1">IFERROR(INDEX(_xlfn.ANCHORARRAY(contracts!$A$6),ROW()-ROW(rtd_data[#Headers]),2),"")</f>
        <v>Y</v>
      </c>
      <c r="F19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7" t="str">
        <f ca="1">IF(rtd_data[[#This Row],[Exch]]="","",IF(rtd_data[[#This Row],[Exch]]="ICE_L","ICE",rtd_data[[#This Row],[Exch]]))</f>
        <v>CME</v>
      </c>
      <c r="I197" t="str">
        <f ca="1">IF(rtd_data[[#This Row],[Product]]="","",IFERROR(INDEX(exch_map[TT_Symbol],MATCH(rtd_data[[#This Row],[Group]],exch_map[Group],0))&amp;"",""))</f>
        <v>SR3</v>
      </c>
      <c r="J197" t="str">
        <f ca="1">IF(rtd_data[[#This Row],[Type]]="Future",PROPER(RIGHT(rtd_data[[#This Row],[Product]],5)),"")</f>
        <v>Feb27</v>
      </c>
    </row>
    <row r="198" spans="1:10" x14ac:dyDescent="0.25">
      <c r="A198" s="11" t="str" cm="1">
        <f t="array" aca="1" ref="A198" ca="1">IFERROR(INDEX(_xlfn.ANCHORARRAY(contracts!$A$6),ROW()-ROW(rtd_data[#Headers]),1),"")</f>
        <v>SR3 MAR27</v>
      </c>
      <c r="B1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8" t="str">
        <f ca="1">IF(rtd_data[[#This Row],[Product]]="","",IF(LEN(TRIM(rtd_data[[#This Row],[Product]]))-LEN(SUBSTITUTE(TRIM(rtd_data[[#This Row],[Product]])," ",""))&gt;=2,"Spread","Future"))</f>
        <v>Future</v>
      </c>
      <c r="D198" t="str">
        <f ca="1">IFERROR(INDEX(exch_map[Exch],MATCH(rtd_data[[#This Row],[Group]],exch_map[Group],0)),"")</f>
        <v>CME</v>
      </c>
      <c r="E198" s="11" t="str" cm="1">
        <f t="array" aca="1" ref="E198" ca="1">IFERROR(INDEX(_xlfn.ANCHORARRAY(contracts!$A$6),ROW()-ROW(rtd_data[#Headers]),2),"")</f>
        <v>Y</v>
      </c>
      <c r="F19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8" t="str">
        <f ca="1">IF(rtd_data[[#This Row],[Exch]]="","",IF(rtd_data[[#This Row],[Exch]]="ICE_L","ICE",rtd_data[[#This Row],[Exch]]))</f>
        <v>CME</v>
      </c>
      <c r="I198" t="str">
        <f ca="1">IF(rtd_data[[#This Row],[Product]]="","",IFERROR(INDEX(exch_map[TT_Symbol],MATCH(rtd_data[[#This Row],[Group]],exch_map[Group],0))&amp;"",""))</f>
        <v>SR3</v>
      </c>
      <c r="J198" t="str">
        <f ca="1">IF(rtd_data[[#This Row],[Type]]="Future",PROPER(RIGHT(rtd_data[[#This Row],[Product]],5)),"")</f>
        <v>Mar27</v>
      </c>
    </row>
    <row r="199" spans="1:10" x14ac:dyDescent="0.25">
      <c r="A199" s="11" t="str" cm="1">
        <f t="array" aca="1" ref="A199" ca="1">IFERROR(INDEX(_xlfn.ANCHORARRAY(contracts!$A$6),ROW()-ROW(rtd_data[#Headers]),1),"")</f>
        <v>SR3 JUN27</v>
      </c>
      <c r="B1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9" t="str">
        <f ca="1">IF(rtd_data[[#This Row],[Product]]="","",IF(LEN(TRIM(rtd_data[[#This Row],[Product]]))-LEN(SUBSTITUTE(TRIM(rtd_data[[#This Row],[Product]])," ",""))&gt;=2,"Spread","Future"))</f>
        <v>Future</v>
      </c>
      <c r="D199" t="str">
        <f ca="1">IFERROR(INDEX(exch_map[Exch],MATCH(rtd_data[[#This Row],[Group]],exch_map[Group],0)),"")</f>
        <v>CME</v>
      </c>
      <c r="E199" s="11" t="str" cm="1">
        <f t="array" aca="1" ref="E199" ca="1">IFERROR(INDEX(_xlfn.ANCHORARRAY(contracts!$A$6),ROW()-ROW(rtd_data[#Headers]),2),"")</f>
        <v>Y</v>
      </c>
      <c r="F19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19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199" t="str">
        <f ca="1">IF(rtd_data[[#This Row],[Exch]]="","",IF(rtd_data[[#This Row],[Exch]]="ICE_L","ICE",rtd_data[[#This Row],[Exch]]))</f>
        <v>CME</v>
      </c>
      <c r="I199" t="str">
        <f ca="1">IF(rtd_data[[#This Row],[Product]]="","",IFERROR(INDEX(exch_map[TT_Symbol],MATCH(rtd_data[[#This Row],[Group]],exch_map[Group],0))&amp;"",""))</f>
        <v>SR3</v>
      </c>
      <c r="J199" t="str">
        <f ca="1">IF(rtd_data[[#This Row],[Type]]="Future",PROPER(RIGHT(rtd_data[[#This Row],[Product]],5)),"")</f>
        <v>Jun27</v>
      </c>
    </row>
    <row r="200" spans="1:10" x14ac:dyDescent="0.25">
      <c r="A200" s="11" t="str" cm="1">
        <f t="array" aca="1" ref="A200" ca="1">IFERROR(INDEX(_xlfn.ANCHORARRAY(contracts!$A$6),ROW()-ROW(rtd_data[#Headers]),1),"")</f>
        <v>SR3 SEP27</v>
      </c>
      <c r="B2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0" t="str">
        <f ca="1">IF(rtd_data[[#This Row],[Product]]="","",IF(LEN(TRIM(rtd_data[[#This Row],[Product]]))-LEN(SUBSTITUTE(TRIM(rtd_data[[#This Row],[Product]])," ",""))&gt;=2,"Spread","Future"))</f>
        <v>Future</v>
      </c>
      <c r="D200" t="str">
        <f ca="1">IFERROR(INDEX(exch_map[Exch],MATCH(rtd_data[[#This Row],[Group]],exch_map[Group],0)),"")</f>
        <v>CME</v>
      </c>
      <c r="E200" s="11" t="str" cm="1">
        <f t="array" aca="1" ref="E200" ca="1">IFERROR(INDEX(_xlfn.ANCHORARRAY(contracts!$A$6),ROW()-ROW(rtd_data[#Headers]),2),"")</f>
        <v>Y</v>
      </c>
      <c r="F20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0" t="str">
        <f ca="1">IF(rtd_data[[#This Row],[Exch]]="","",IF(rtd_data[[#This Row],[Exch]]="ICE_L","ICE",rtd_data[[#This Row],[Exch]]))</f>
        <v>CME</v>
      </c>
      <c r="I200" t="str">
        <f ca="1">IF(rtd_data[[#This Row],[Product]]="","",IFERROR(INDEX(exch_map[TT_Symbol],MATCH(rtd_data[[#This Row],[Group]],exch_map[Group],0))&amp;"",""))</f>
        <v>SR3</v>
      </c>
      <c r="J200" t="str">
        <f ca="1">IF(rtd_data[[#This Row],[Type]]="Future",PROPER(RIGHT(rtd_data[[#This Row],[Product]],5)),"")</f>
        <v>Sep27</v>
      </c>
    </row>
    <row r="201" spans="1:10" x14ac:dyDescent="0.25">
      <c r="A201" s="11" t="str" cm="1">
        <f t="array" aca="1" ref="A201" ca="1">IFERROR(INDEX(_xlfn.ANCHORARRAY(contracts!$A$6),ROW()-ROW(rtd_data[#Headers]),1),"")</f>
        <v>SR3 DEC27</v>
      </c>
      <c r="B2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1" t="str">
        <f ca="1">IF(rtd_data[[#This Row],[Product]]="","",IF(LEN(TRIM(rtd_data[[#This Row],[Product]]))-LEN(SUBSTITUTE(TRIM(rtd_data[[#This Row],[Product]])," ",""))&gt;=2,"Spread","Future"))</f>
        <v>Future</v>
      </c>
      <c r="D201" t="str">
        <f ca="1">IFERROR(INDEX(exch_map[Exch],MATCH(rtd_data[[#This Row],[Group]],exch_map[Group],0)),"")</f>
        <v>CME</v>
      </c>
      <c r="E201" s="11" t="str" cm="1">
        <f t="array" aca="1" ref="E201" ca="1">IFERROR(INDEX(_xlfn.ANCHORARRAY(contracts!$A$6),ROW()-ROW(rtd_data[#Headers]),2),"")</f>
        <v>Y</v>
      </c>
      <c r="F20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1" t="str">
        <f ca="1">IF(rtd_data[[#This Row],[Exch]]="","",IF(rtd_data[[#This Row],[Exch]]="ICE_L","ICE",rtd_data[[#This Row],[Exch]]))</f>
        <v>CME</v>
      </c>
      <c r="I201" t="str">
        <f ca="1">IF(rtd_data[[#This Row],[Product]]="","",IFERROR(INDEX(exch_map[TT_Symbol],MATCH(rtd_data[[#This Row],[Group]],exch_map[Group],0))&amp;"",""))</f>
        <v>SR3</v>
      </c>
      <c r="J201" t="str">
        <f ca="1">IF(rtd_data[[#This Row],[Type]]="Future",PROPER(RIGHT(rtd_data[[#This Row],[Product]],5)),"")</f>
        <v>Dec27</v>
      </c>
    </row>
    <row r="202" spans="1:10" x14ac:dyDescent="0.25">
      <c r="A202" s="11" t="str" cm="1">
        <f t="array" aca="1" ref="A202" ca="1">IFERROR(INDEX(_xlfn.ANCHORARRAY(contracts!$A$6),ROW()-ROW(rtd_data[#Headers]),1),"")</f>
        <v>SR3 MAR28</v>
      </c>
      <c r="B2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2" t="str">
        <f ca="1">IF(rtd_data[[#This Row],[Product]]="","",IF(LEN(TRIM(rtd_data[[#This Row],[Product]]))-LEN(SUBSTITUTE(TRIM(rtd_data[[#This Row],[Product]])," ",""))&gt;=2,"Spread","Future"))</f>
        <v>Future</v>
      </c>
      <c r="D202" t="str">
        <f ca="1">IFERROR(INDEX(exch_map[Exch],MATCH(rtd_data[[#This Row],[Group]],exch_map[Group],0)),"")</f>
        <v>CME</v>
      </c>
      <c r="E202" s="11" t="str" cm="1">
        <f t="array" aca="1" ref="E202" ca="1">IFERROR(INDEX(_xlfn.ANCHORARRAY(contracts!$A$6),ROW()-ROW(rtd_data[#Headers]),2),"")</f>
        <v>Y</v>
      </c>
      <c r="F20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2" t="str">
        <f ca="1">IF(rtd_data[[#This Row],[Exch]]="","",IF(rtd_data[[#This Row],[Exch]]="ICE_L","ICE",rtd_data[[#This Row],[Exch]]))</f>
        <v>CME</v>
      </c>
      <c r="I202" t="str">
        <f ca="1">IF(rtd_data[[#This Row],[Product]]="","",IFERROR(INDEX(exch_map[TT_Symbol],MATCH(rtd_data[[#This Row],[Group]],exch_map[Group],0))&amp;"",""))</f>
        <v>SR3</v>
      </c>
      <c r="J202" t="str">
        <f ca="1">IF(rtd_data[[#This Row],[Type]]="Future",PROPER(RIGHT(rtd_data[[#This Row],[Product]],5)),"")</f>
        <v>Mar28</v>
      </c>
    </row>
    <row r="203" spans="1:10" x14ac:dyDescent="0.25">
      <c r="A203" s="11" t="str" cm="1">
        <f t="array" aca="1" ref="A203" ca="1">IFERROR(INDEX(_xlfn.ANCHORARRAY(contracts!$A$6),ROW()-ROW(rtd_data[#Headers]),1),"")</f>
        <v>SR3 JUN28</v>
      </c>
      <c r="B2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3" t="str">
        <f ca="1">IF(rtd_data[[#This Row],[Product]]="","",IF(LEN(TRIM(rtd_data[[#This Row],[Product]]))-LEN(SUBSTITUTE(TRIM(rtd_data[[#This Row],[Product]])," ",""))&gt;=2,"Spread","Future"))</f>
        <v>Future</v>
      </c>
      <c r="D203" t="str">
        <f ca="1">IFERROR(INDEX(exch_map[Exch],MATCH(rtd_data[[#This Row],[Group]],exch_map[Group],0)),"")</f>
        <v>CME</v>
      </c>
      <c r="E203" s="11" t="str" cm="1">
        <f t="array" aca="1" ref="E203" ca="1">IFERROR(INDEX(_xlfn.ANCHORARRAY(contracts!$A$6),ROW()-ROW(rtd_data[#Headers]),2),"")</f>
        <v>Y</v>
      </c>
      <c r="F20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3" t="str">
        <f ca="1">IF(rtd_data[[#This Row],[Exch]]="","",IF(rtd_data[[#This Row],[Exch]]="ICE_L","ICE",rtd_data[[#This Row],[Exch]]))</f>
        <v>CME</v>
      </c>
      <c r="I203" t="str">
        <f ca="1">IF(rtd_data[[#This Row],[Product]]="","",IFERROR(INDEX(exch_map[TT_Symbol],MATCH(rtd_data[[#This Row],[Group]],exch_map[Group],0))&amp;"",""))</f>
        <v>SR3</v>
      </c>
      <c r="J203" t="str">
        <f ca="1">IF(rtd_data[[#This Row],[Type]]="Future",PROPER(RIGHT(rtd_data[[#This Row],[Product]],5)),"")</f>
        <v>Jun28</v>
      </c>
    </row>
    <row r="204" spans="1:10" x14ac:dyDescent="0.25">
      <c r="A204" s="11" t="str" cm="1">
        <f t="array" aca="1" ref="A204" ca="1">IFERROR(INDEX(_xlfn.ANCHORARRAY(contracts!$A$6),ROW()-ROW(rtd_data[#Headers]),1),"")</f>
        <v>SR3 SEP28</v>
      </c>
      <c r="B2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4" t="str">
        <f ca="1">IF(rtd_data[[#This Row],[Product]]="","",IF(LEN(TRIM(rtd_data[[#This Row],[Product]]))-LEN(SUBSTITUTE(TRIM(rtd_data[[#This Row],[Product]])," ",""))&gt;=2,"Spread","Future"))</f>
        <v>Future</v>
      </c>
      <c r="D204" t="str">
        <f ca="1">IFERROR(INDEX(exch_map[Exch],MATCH(rtd_data[[#This Row],[Group]],exch_map[Group],0)),"")</f>
        <v>CME</v>
      </c>
      <c r="E204" s="11" t="str" cm="1">
        <f t="array" aca="1" ref="E204" ca="1">IFERROR(INDEX(_xlfn.ANCHORARRAY(contracts!$A$6),ROW()-ROW(rtd_data[#Headers]),2),"")</f>
        <v>Y</v>
      </c>
      <c r="F20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4" t="str">
        <f ca="1">IF(rtd_data[[#This Row],[Exch]]="","",IF(rtd_data[[#This Row],[Exch]]="ICE_L","ICE",rtd_data[[#This Row],[Exch]]))</f>
        <v>CME</v>
      </c>
      <c r="I204" t="str">
        <f ca="1">IF(rtd_data[[#This Row],[Product]]="","",IFERROR(INDEX(exch_map[TT_Symbol],MATCH(rtd_data[[#This Row],[Group]],exch_map[Group],0))&amp;"",""))</f>
        <v>SR3</v>
      </c>
      <c r="J204" t="str">
        <f ca="1">IF(rtd_data[[#This Row],[Type]]="Future",PROPER(RIGHT(rtd_data[[#This Row],[Product]],5)),"")</f>
        <v>Sep28</v>
      </c>
    </row>
    <row r="205" spans="1:10" x14ac:dyDescent="0.25">
      <c r="A205" s="11" t="str" cm="1">
        <f t="array" aca="1" ref="A205" ca="1">IFERROR(INDEX(_xlfn.ANCHORARRAY(contracts!$A$6),ROW()-ROW(rtd_data[#Headers]),1),"")</f>
        <v>SR3 DEC28</v>
      </c>
      <c r="B2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5" t="str">
        <f ca="1">IF(rtd_data[[#This Row],[Product]]="","",IF(LEN(TRIM(rtd_data[[#This Row],[Product]]))-LEN(SUBSTITUTE(TRIM(rtd_data[[#This Row],[Product]])," ",""))&gt;=2,"Spread","Future"))</f>
        <v>Future</v>
      </c>
      <c r="D205" t="str">
        <f ca="1">IFERROR(INDEX(exch_map[Exch],MATCH(rtd_data[[#This Row],[Group]],exch_map[Group],0)),"")</f>
        <v>CME</v>
      </c>
      <c r="E205" s="11" t="str" cm="1">
        <f t="array" aca="1" ref="E205" ca="1">IFERROR(INDEX(_xlfn.ANCHORARRAY(contracts!$A$6),ROW()-ROW(rtd_data[#Headers]),2),"")</f>
        <v>Y</v>
      </c>
      <c r="F20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5" t="str">
        <f ca="1">IF(rtd_data[[#This Row],[Exch]]="","",IF(rtd_data[[#This Row],[Exch]]="ICE_L","ICE",rtd_data[[#This Row],[Exch]]))</f>
        <v>CME</v>
      </c>
      <c r="I205" t="str">
        <f ca="1">IF(rtd_data[[#This Row],[Product]]="","",IFERROR(INDEX(exch_map[TT_Symbol],MATCH(rtd_data[[#This Row],[Group]],exch_map[Group],0))&amp;"",""))</f>
        <v>SR3</v>
      </c>
      <c r="J205" t="str">
        <f ca="1">IF(rtd_data[[#This Row],[Type]]="Future",PROPER(RIGHT(rtd_data[[#This Row],[Product]],5)),"")</f>
        <v>Dec28</v>
      </c>
    </row>
    <row r="206" spans="1:10" x14ac:dyDescent="0.25">
      <c r="A206" s="11" t="str" cm="1">
        <f t="array" aca="1" ref="A206" ca="1">IFERROR(INDEX(_xlfn.ANCHORARRAY(contracts!$A$6),ROW()-ROW(rtd_data[#Headers]),1),"")</f>
        <v>SR3 MAR29</v>
      </c>
      <c r="B2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6" t="str">
        <f ca="1">IF(rtd_data[[#This Row],[Product]]="","",IF(LEN(TRIM(rtd_data[[#This Row],[Product]]))-LEN(SUBSTITUTE(TRIM(rtd_data[[#This Row],[Product]])," ",""))&gt;=2,"Spread","Future"))</f>
        <v>Future</v>
      </c>
      <c r="D206" t="str">
        <f ca="1">IFERROR(INDEX(exch_map[Exch],MATCH(rtd_data[[#This Row],[Group]],exch_map[Group],0)),"")</f>
        <v>CME</v>
      </c>
      <c r="E206" s="11" t="str" cm="1">
        <f t="array" aca="1" ref="E206" ca="1">IFERROR(INDEX(_xlfn.ANCHORARRAY(contracts!$A$6),ROW()-ROW(rtd_data[#Headers]),2),"")</f>
        <v>Y</v>
      </c>
      <c r="F20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6" t="str">
        <f ca="1">IF(rtd_data[[#This Row],[Exch]]="","",IF(rtd_data[[#This Row],[Exch]]="ICE_L","ICE",rtd_data[[#This Row],[Exch]]))</f>
        <v>CME</v>
      </c>
      <c r="I206" t="str">
        <f ca="1">IF(rtd_data[[#This Row],[Product]]="","",IFERROR(INDEX(exch_map[TT_Symbol],MATCH(rtd_data[[#This Row],[Group]],exch_map[Group],0))&amp;"",""))</f>
        <v>SR3</v>
      </c>
      <c r="J206" t="str">
        <f ca="1">IF(rtd_data[[#This Row],[Type]]="Future",PROPER(RIGHT(rtd_data[[#This Row],[Product]],5)),"")</f>
        <v>Mar29</v>
      </c>
    </row>
    <row r="207" spans="1:10" x14ac:dyDescent="0.25">
      <c r="A207" s="11" t="str" cm="1">
        <f t="array" aca="1" ref="A207" ca="1">IFERROR(INDEX(_xlfn.ANCHORARRAY(contracts!$A$6),ROW()-ROW(rtd_data[#Headers]),1),"")</f>
        <v>SR3 JUN29</v>
      </c>
      <c r="B2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7" t="str">
        <f ca="1">IF(rtd_data[[#This Row],[Product]]="","",IF(LEN(TRIM(rtd_data[[#This Row],[Product]]))-LEN(SUBSTITUTE(TRIM(rtd_data[[#This Row],[Product]])," ",""))&gt;=2,"Spread","Future"))</f>
        <v>Future</v>
      </c>
      <c r="D207" t="str">
        <f ca="1">IFERROR(INDEX(exch_map[Exch],MATCH(rtd_data[[#This Row],[Group]],exch_map[Group],0)),"")</f>
        <v>CME</v>
      </c>
      <c r="E207" s="11" t="str" cm="1">
        <f t="array" aca="1" ref="E207" ca="1">IFERROR(INDEX(_xlfn.ANCHORARRAY(contracts!$A$6),ROW()-ROW(rtd_data[#Headers]),2),"")</f>
        <v>Y</v>
      </c>
      <c r="F20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7" t="str">
        <f ca="1">IF(rtd_data[[#This Row],[Exch]]="","",IF(rtd_data[[#This Row],[Exch]]="ICE_L","ICE",rtd_data[[#This Row],[Exch]]))</f>
        <v>CME</v>
      </c>
      <c r="I207" t="str">
        <f ca="1">IF(rtd_data[[#This Row],[Product]]="","",IFERROR(INDEX(exch_map[TT_Symbol],MATCH(rtd_data[[#This Row],[Group]],exch_map[Group],0))&amp;"",""))</f>
        <v>SR3</v>
      </c>
      <c r="J207" t="str">
        <f ca="1">IF(rtd_data[[#This Row],[Type]]="Future",PROPER(RIGHT(rtd_data[[#This Row],[Product]],5)),"")</f>
        <v>Jun29</v>
      </c>
    </row>
    <row r="208" spans="1:10" x14ac:dyDescent="0.25">
      <c r="A208" s="11" t="str" cm="1">
        <f t="array" aca="1" ref="A208" ca="1">IFERROR(INDEX(_xlfn.ANCHORARRAY(contracts!$A$6),ROW()-ROW(rtd_data[#Headers]),1),"")</f>
        <v>SR3 SEP29</v>
      </c>
      <c r="B2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8" t="str">
        <f ca="1">IF(rtd_data[[#This Row],[Product]]="","",IF(LEN(TRIM(rtd_data[[#This Row],[Product]]))-LEN(SUBSTITUTE(TRIM(rtd_data[[#This Row],[Product]])," ",""))&gt;=2,"Spread","Future"))</f>
        <v>Future</v>
      </c>
      <c r="D208" t="str">
        <f ca="1">IFERROR(INDEX(exch_map[Exch],MATCH(rtd_data[[#This Row],[Group]],exch_map[Group],0)),"")</f>
        <v>CME</v>
      </c>
      <c r="E208" s="11" t="str" cm="1">
        <f t="array" aca="1" ref="E208" ca="1">IFERROR(INDEX(_xlfn.ANCHORARRAY(contracts!$A$6),ROW()-ROW(rtd_data[#Headers]),2),"")</f>
        <v>Y</v>
      </c>
      <c r="F20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8" t="str">
        <f ca="1">IF(rtd_data[[#This Row],[Exch]]="","",IF(rtd_data[[#This Row],[Exch]]="ICE_L","ICE",rtd_data[[#This Row],[Exch]]))</f>
        <v>CME</v>
      </c>
      <c r="I208" t="str">
        <f ca="1">IF(rtd_data[[#This Row],[Product]]="","",IFERROR(INDEX(exch_map[TT_Symbol],MATCH(rtd_data[[#This Row],[Group]],exch_map[Group],0))&amp;"",""))</f>
        <v>SR3</v>
      </c>
      <c r="J208" t="str">
        <f ca="1">IF(rtd_data[[#This Row],[Type]]="Future",PROPER(RIGHT(rtd_data[[#This Row],[Product]],5)),"")</f>
        <v>Sep29</v>
      </c>
    </row>
    <row r="209" spans="1:10" x14ac:dyDescent="0.25">
      <c r="A209" s="11" t="str" cm="1">
        <f t="array" aca="1" ref="A209" ca="1">IFERROR(INDEX(_xlfn.ANCHORARRAY(contracts!$A$6),ROW()-ROW(rtd_data[#Headers]),1),"")</f>
        <v>SR3 DEC29</v>
      </c>
      <c r="B2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9" t="str">
        <f ca="1">IF(rtd_data[[#This Row],[Product]]="","",IF(LEN(TRIM(rtd_data[[#This Row],[Product]]))-LEN(SUBSTITUTE(TRIM(rtd_data[[#This Row],[Product]])," ",""))&gt;=2,"Spread","Future"))</f>
        <v>Future</v>
      </c>
      <c r="D209" t="str">
        <f ca="1">IFERROR(INDEX(exch_map[Exch],MATCH(rtd_data[[#This Row],[Group]],exch_map[Group],0)),"")</f>
        <v>CME</v>
      </c>
      <c r="E209" s="11" t="str" cm="1">
        <f t="array" aca="1" ref="E209" ca="1">IFERROR(INDEX(_xlfn.ANCHORARRAY(contracts!$A$6),ROW()-ROW(rtd_data[#Headers]),2),"")</f>
        <v>Y</v>
      </c>
      <c r="F20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0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09" t="str">
        <f ca="1">IF(rtd_data[[#This Row],[Exch]]="","",IF(rtd_data[[#This Row],[Exch]]="ICE_L","ICE",rtd_data[[#This Row],[Exch]]))</f>
        <v>CME</v>
      </c>
      <c r="I209" t="str">
        <f ca="1">IF(rtd_data[[#This Row],[Product]]="","",IFERROR(INDEX(exch_map[TT_Symbol],MATCH(rtd_data[[#This Row],[Group]],exch_map[Group],0))&amp;"",""))</f>
        <v>SR3</v>
      </c>
      <c r="J209" t="str">
        <f ca="1">IF(rtd_data[[#This Row],[Type]]="Future",PROPER(RIGHT(rtd_data[[#This Row],[Product]],5)),"")</f>
        <v>Dec29</v>
      </c>
    </row>
    <row r="210" spans="1:10" x14ac:dyDescent="0.25">
      <c r="A210" s="11" t="str" cm="1">
        <f t="array" aca="1" ref="A210" ca="1">IFERROR(INDEX(_xlfn.ANCHORARRAY(contracts!$A$6),ROW()-ROW(rtd_data[#Headers]),1),"")</f>
        <v>SR3 MAR30</v>
      </c>
      <c r="B2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0" t="str">
        <f ca="1">IF(rtd_data[[#This Row],[Product]]="","",IF(LEN(TRIM(rtd_data[[#This Row],[Product]]))-LEN(SUBSTITUTE(TRIM(rtd_data[[#This Row],[Product]])," ",""))&gt;=2,"Spread","Future"))</f>
        <v>Future</v>
      </c>
      <c r="D210" t="str">
        <f ca="1">IFERROR(INDEX(exch_map[Exch],MATCH(rtd_data[[#This Row],[Group]],exch_map[Group],0)),"")</f>
        <v>CME</v>
      </c>
      <c r="E210" s="11" t="str" cm="1">
        <f t="array" aca="1" ref="E210" ca="1">IFERROR(INDEX(_xlfn.ANCHORARRAY(contracts!$A$6),ROW()-ROW(rtd_data[#Headers]),2),"")</f>
        <v>Y</v>
      </c>
      <c r="F21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0" t="str">
        <f ca="1">IF(rtd_data[[#This Row],[Exch]]="","",IF(rtd_data[[#This Row],[Exch]]="ICE_L","ICE",rtd_data[[#This Row],[Exch]]))</f>
        <v>CME</v>
      </c>
      <c r="I210" t="str">
        <f ca="1">IF(rtd_data[[#This Row],[Product]]="","",IFERROR(INDEX(exch_map[TT_Symbol],MATCH(rtd_data[[#This Row],[Group]],exch_map[Group],0))&amp;"",""))</f>
        <v>SR3</v>
      </c>
      <c r="J210" t="str">
        <f ca="1">IF(rtd_data[[#This Row],[Type]]="Future",PROPER(RIGHT(rtd_data[[#This Row],[Product]],5)),"")</f>
        <v>Mar30</v>
      </c>
    </row>
    <row r="211" spans="1:10" x14ac:dyDescent="0.25">
      <c r="A211" s="11" t="str" cm="1">
        <f t="array" aca="1" ref="A211" ca="1">IFERROR(INDEX(_xlfn.ANCHORARRAY(contracts!$A$6),ROW()-ROW(rtd_data[#Headers]),1),"")</f>
        <v>SR3 JUN30</v>
      </c>
      <c r="B2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1" t="str">
        <f ca="1">IF(rtd_data[[#This Row],[Product]]="","",IF(LEN(TRIM(rtd_data[[#This Row],[Product]]))-LEN(SUBSTITUTE(TRIM(rtd_data[[#This Row],[Product]])," ",""))&gt;=2,"Spread","Future"))</f>
        <v>Future</v>
      </c>
      <c r="D211" t="str">
        <f ca="1">IFERROR(INDEX(exch_map[Exch],MATCH(rtd_data[[#This Row],[Group]],exch_map[Group],0)),"")</f>
        <v>CME</v>
      </c>
      <c r="E211" s="11" t="str" cm="1">
        <f t="array" aca="1" ref="E211" ca="1">IFERROR(INDEX(_xlfn.ANCHORARRAY(contracts!$A$6),ROW()-ROW(rtd_data[#Headers]),2),"")</f>
        <v>Y</v>
      </c>
      <c r="F21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1" t="str">
        <f ca="1">IF(rtd_data[[#This Row],[Exch]]="","",IF(rtd_data[[#This Row],[Exch]]="ICE_L","ICE",rtd_data[[#This Row],[Exch]]))</f>
        <v>CME</v>
      </c>
      <c r="I211" t="str">
        <f ca="1">IF(rtd_data[[#This Row],[Product]]="","",IFERROR(INDEX(exch_map[TT_Symbol],MATCH(rtd_data[[#This Row],[Group]],exch_map[Group],0))&amp;"",""))</f>
        <v>SR3</v>
      </c>
      <c r="J211" t="str">
        <f ca="1">IF(rtd_data[[#This Row],[Type]]="Future",PROPER(RIGHT(rtd_data[[#This Row],[Product]],5)),"")</f>
        <v>Jun30</v>
      </c>
    </row>
    <row r="212" spans="1:10" x14ac:dyDescent="0.25">
      <c r="A212" s="11" t="str" cm="1">
        <f t="array" aca="1" ref="A212" ca="1">IFERROR(INDEX(_xlfn.ANCHORARRAY(contracts!$A$6),ROW()-ROW(rtd_data[#Headers]),1),"")</f>
        <v>SR3 SEP30</v>
      </c>
      <c r="B2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2" t="str">
        <f ca="1">IF(rtd_data[[#This Row],[Product]]="","",IF(LEN(TRIM(rtd_data[[#This Row],[Product]]))-LEN(SUBSTITUTE(TRIM(rtd_data[[#This Row],[Product]])," ",""))&gt;=2,"Spread","Future"))</f>
        <v>Future</v>
      </c>
      <c r="D212" t="str">
        <f ca="1">IFERROR(INDEX(exch_map[Exch],MATCH(rtd_data[[#This Row],[Group]],exch_map[Group],0)),"")</f>
        <v>CME</v>
      </c>
      <c r="E212" s="11" t="str" cm="1">
        <f t="array" aca="1" ref="E212" ca="1">IFERROR(INDEX(_xlfn.ANCHORARRAY(contracts!$A$6),ROW()-ROW(rtd_data[#Headers]),2),"")</f>
        <v>Y</v>
      </c>
      <c r="F21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2" t="str">
        <f ca="1">IF(rtd_data[[#This Row],[Exch]]="","",IF(rtd_data[[#This Row],[Exch]]="ICE_L","ICE",rtd_data[[#This Row],[Exch]]))</f>
        <v>CME</v>
      </c>
      <c r="I212" t="str">
        <f ca="1">IF(rtd_data[[#This Row],[Product]]="","",IFERROR(INDEX(exch_map[TT_Symbol],MATCH(rtd_data[[#This Row],[Group]],exch_map[Group],0))&amp;"",""))</f>
        <v>SR3</v>
      </c>
      <c r="J212" t="str">
        <f ca="1">IF(rtd_data[[#This Row],[Type]]="Future",PROPER(RIGHT(rtd_data[[#This Row],[Product]],5)),"")</f>
        <v>Sep30</v>
      </c>
    </row>
    <row r="213" spans="1:10" x14ac:dyDescent="0.25">
      <c r="A213" s="11" t="str" cm="1">
        <f t="array" aca="1" ref="A213" ca="1">IFERROR(INDEX(_xlfn.ANCHORARRAY(contracts!$A$6),ROW()-ROW(rtd_data[#Headers]),1),"")</f>
        <v>SR3 DEC30</v>
      </c>
      <c r="B2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3" t="str">
        <f ca="1">IF(rtd_data[[#This Row],[Product]]="","",IF(LEN(TRIM(rtd_data[[#This Row],[Product]]))-LEN(SUBSTITUTE(TRIM(rtd_data[[#This Row],[Product]])," ",""))&gt;=2,"Spread","Future"))</f>
        <v>Future</v>
      </c>
      <c r="D213" t="str">
        <f ca="1">IFERROR(INDEX(exch_map[Exch],MATCH(rtd_data[[#This Row],[Group]],exch_map[Group],0)),"")</f>
        <v>CME</v>
      </c>
      <c r="E213" s="11" t="str" cm="1">
        <f t="array" aca="1" ref="E213" ca="1">IFERROR(INDEX(_xlfn.ANCHORARRAY(contracts!$A$6),ROW()-ROW(rtd_data[#Headers]),2),"")</f>
        <v>Y</v>
      </c>
      <c r="F21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3" t="str">
        <f ca="1">IF(rtd_data[[#This Row],[Exch]]="","",IF(rtd_data[[#This Row],[Exch]]="ICE_L","ICE",rtd_data[[#This Row],[Exch]]))</f>
        <v>CME</v>
      </c>
      <c r="I213" t="str">
        <f ca="1">IF(rtd_data[[#This Row],[Product]]="","",IFERROR(INDEX(exch_map[TT_Symbol],MATCH(rtd_data[[#This Row],[Group]],exch_map[Group],0))&amp;"",""))</f>
        <v>SR3</v>
      </c>
      <c r="J213" t="str">
        <f ca="1">IF(rtd_data[[#This Row],[Type]]="Future",PROPER(RIGHT(rtd_data[[#This Row],[Product]],5)),"")</f>
        <v>Dec30</v>
      </c>
    </row>
    <row r="214" spans="1:10" x14ac:dyDescent="0.25">
      <c r="A214" s="11" t="str" cm="1">
        <f t="array" aca="1" ref="A214" ca="1">IFERROR(INDEX(_xlfn.ANCHORARRAY(contracts!$A$6),ROW()-ROW(rtd_data[#Headers]),1),"")</f>
        <v>SR3 MAR31</v>
      </c>
      <c r="B2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4" t="str">
        <f ca="1">IF(rtd_data[[#This Row],[Product]]="","",IF(LEN(TRIM(rtd_data[[#This Row],[Product]]))-LEN(SUBSTITUTE(TRIM(rtd_data[[#This Row],[Product]])," ",""))&gt;=2,"Spread","Future"))</f>
        <v>Future</v>
      </c>
      <c r="D214" t="str">
        <f ca="1">IFERROR(INDEX(exch_map[Exch],MATCH(rtd_data[[#This Row],[Group]],exch_map[Group],0)),"")</f>
        <v>CME</v>
      </c>
      <c r="E214" s="11" t="str" cm="1">
        <f t="array" aca="1" ref="E214" ca="1">IFERROR(INDEX(_xlfn.ANCHORARRAY(contracts!$A$6),ROW()-ROW(rtd_data[#Headers]),2),"")</f>
        <v>Y</v>
      </c>
      <c r="F21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4" t="str">
        <f ca="1">IF(rtd_data[[#This Row],[Exch]]="","",IF(rtd_data[[#This Row],[Exch]]="ICE_L","ICE",rtd_data[[#This Row],[Exch]]))</f>
        <v>CME</v>
      </c>
      <c r="I214" t="str">
        <f ca="1">IF(rtd_data[[#This Row],[Product]]="","",IFERROR(INDEX(exch_map[TT_Symbol],MATCH(rtd_data[[#This Row],[Group]],exch_map[Group],0))&amp;"",""))</f>
        <v>SR3</v>
      </c>
      <c r="J214" t="str">
        <f ca="1">IF(rtd_data[[#This Row],[Type]]="Future",PROPER(RIGHT(rtd_data[[#This Row],[Product]],5)),"")</f>
        <v>Mar31</v>
      </c>
    </row>
    <row r="215" spans="1:10" x14ac:dyDescent="0.25">
      <c r="A215" s="11" t="str" cm="1">
        <f t="array" aca="1" ref="A215" ca="1">IFERROR(INDEX(_xlfn.ANCHORARRAY(contracts!$A$6),ROW()-ROW(rtd_data[#Headers]),1),"")</f>
        <v>SR3 JUN31</v>
      </c>
      <c r="B2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5" t="str">
        <f ca="1">IF(rtd_data[[#This Row],[Product]]="","",IF(LEN(TRIM(rtd_data[[#This Row],[Product]]))-LEN(SUBSTITUTE(TRIM(rtd_data[[#This Row],[Product]])," ",""))&gt;=2,"Spread","Future"))</f>
        <v>Future</v>
      </c>
      <c r="D215" t="str">
        <f ca="1">IFERROR(INDEX(exch_map[Exch],MATCH(rtd_data[[#This Row],[Group]],exch_map[Group],0)),"")</f>
        <v>CME</v>
      </c>
      <c r="E215" s="11" t="str" cm="1">
        <f t="array" aca="1" ref="E215" ca="1">IFERROR(INDEX(_xlfn.ANCHORARRAY(contracts!$A$6),ROW()-ROW(rtd_data[#Headers]),2),"")</f>
        <v>Y</v>
      </c>
      <c r="F21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5" t="str">
        <f ca="1">IF(rtd_data[[#This Row],[Exch]]="","",IF(rtd_data[[#This Row],[Exch]]="ICE_L","ICE",rtd_data[[#This Row],[Exch]]))</f>
        <v>CME</v>
      </c>
      <c r="I215" t="str">
        <f ca="1">IF(rtd_data[[#This Row],[Product]]="","",IFERROR(INDEX(exch_map[TT_Symbol],MATCH(rtd_data[[#This Row],[Group]],exch_map[Group],0))&amp;"",""))</f>
        <v>SR3</v>
      </c>
      <c r="J215" t="str">
        <f ca="1">IF(rtd_data[[#This Row],[Type]]="Future",PROPER(RIGHT(rtd_data[[#This Row],[Product]],5)),"")</f>
        <v>Jun31</v>
      </c>
    </row>
    <row r="216" spans="1:10" x14ac:dyDescent="0.25">
      <c r="A216" s="11" t="str" cm="1">
        <f t="array" aca="1" ref="A216" ca="1">IFERROR(INDEX(_xlfn.ANCHORARRAY(contracts!$A$6),ROW()-ROW(rtd_data[#Headers]),1),"")</f>
        <v>SR3 SEP31</v>
      </c>
      <c r="B2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6" t="str">
        <f ca="1">IF(rtd_data[[#This Row],[Product]]="","",IF(LEN(TRIM(rtd_data[[#This Row],[Product]]))-LEN(SUBSTITUTE(TRIM(rtd_data[[#This Row],[Product]])," ",""))&gt;=2,"Spread","Future"))</f>
        <v>Future</v>
      </c>
      <c r="D216" t="str">
        <f ca="1">IFERROR(INDEX(exch_map[Exch],MATCH(rtd_data[[#This Row],[Group]],exch_map[Group],0)),"")</f>
        <v>CME</v>
      </c>
      <c r="E216" s="11" t="str" cm="1">
        <f t="array" aca="1" ref="E216" ca="1">IFERROR(INDEX(_xlfn.ANCHORARRAY(contracts!$A$6),ROW()-ROW(rtd_data[#Headers]),2),"")</f>
        <v>Y</v>
      </c>
      <c r="F21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6" t="str">
        <f ca="1">IF(rtd_data[[#This Row],[Exch]]="","",IF(rtd_data[[#This Row],[Exch]]="ICE_L","ICE",rtd_data[[#This Row],[Exch]]))</f>
        <v>CME</v>
      </c>
      <c r="I216" t="str">
        <f ca="1">IF(rtd_data[[#This Row],[Product]]="","",IFERROR(INDEX(exch_map[TT_Symbol],MATCH(rtd_data[[#This Row],[Group]],exch_map[Group],0))&amp;"",""))</f>
        <v>SR3</v>
      </c>
      <c r="J216" t="str">
        <f ca="1">IF(rtd_data[[#This Row],[Type]]="Future",PROPER(RIGHT(rtd_data[[#This Row],[Product]],5)),"")</f>
        <v>Sep31</v>
      </c>
    </row>
    <row r="217" spans="1:10" x14ac:dyDescent="0.25">
      <c r="A217" s="11" t="str" cm="1">
        <f t="array" aca="1" ref="A217" ca="1">IFERROR(INDEX(_xlfn.ANCHORARRAY(contracts!$A$6),ROW()-ROW(rtd_data[#Headers]),1),"")</f>
        <v>SR3 DEC31</v>
      </c>
      <c r="B2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7" t="str">
        <f ca="1">IF(rtd_data[[#This Row],[Product]]="","",IF(LEN(TRIM(rtd_data[[#This Row],[Product]]))-LEN(SUBSTITUTE(TRIM(rtd_data[[#This Row],[Product]])," ",""))&gt;=2,"Spread","Future"))</f>
        <v>Future</v>
      </c>
      <c r="D217" t="str">
        <f ca="1">IFERROR(INDEX(exch_map[Exch],MATCH(rtd_data[[#This Row],[Group]],exch_map[Group],0)),"")</f>
        <v>CME</v>
      </c>
      <c r="E217" s="11" t="str" cm="1">
        <f t="array" aca="1" ref="E217" ca="1">IFERROR(INDEX(_xlfn.ANCHORARRAY(contracts!$A$6),ROW()-ROW(rtd_data[#Headers]),2),"")</f>
        <v>Y</v>
      </c>
      <c r="F21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7" t="str">
        <f ca="1">IF(rtd_data[[#This Row],[Exch]]="","",IF(rtd_data[[#This Row],[Exch]]="ICE_L","ICE",rtd_data[[#This Row],[Exch]]))</f>
        <v>CME</v>
      </c>
      <c r="I217" t="str">
        <f ca="1">IF(rtd_data[[#This Row],[Product]]="","",IFERROR(INDEX(exch_map[TT_Symbol],MATCH(rtd_data[[#This Row],[Group]],exch_map[Group],0))&amp;"",""))</f>
        <v>SR3</v>
      </c>
      <c r="J217" t="str">
        <f ca="1">IF(rtd_data[[#This Row],[Type]]="Future",PROPER(RIGHT(rtd_data[[#This Row],[Product]],5)),"")</f>
        <v>Dec31</v>
      </c>
    </row>
    <row r="218" spans="1:10" x14ac:dyDescent="0.25">
      <c r="A218" s="11" t="str" cm="1">
        <f t="array" aca="1" ref="A218" ca="1">IFERROR(INDEX(_xlfn.ANCHORARRAY(contracts!$A$6),ROW()-ROW(rtd_data[#Headers]),1),"")</f>
        <v>SR3 MAR32</v>
      </c>
      <c r="B2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8" t="str">
        <f ca="1">IF(rtd_data[[#This Row],[Product]]="","",IF(LEN(TRIM(rtd_data[[#This Row],[Product]]))-LEN(SUBSTITUTE(TRIM(rtd_data[[#This Row],[Product]])," ",""))&gt;=2,"Spread","Future"))</f>
        <v>Future</v>
      </c>
      <c r="D218" t="str">
        <f ca="1">IFERROR(INDEX(exch_map[Exch],MATCH(rtd_data[[#This Row],[Group]],exch_map[Group],0)),"")</f>
        <v>CME</v>
      </c>
      <c r="E218" s="11" t="str" cm="1">
        <f t="array" aca="1" ref="E218" ca="1">IFERROR(INDEX(_xlfn.ANCHORARRAY(contracts!$A$6),ROW()-ROW(rtd_data[#Headers]),2),"")</f>
        <v>Y</v>
      </c>
      <c r="F21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8" t="str">
        <f ca="1">IF(rtd_data[[#This Row],[Exch]]="","",IF(rtd_data[[#This Row],[Exch]]="ICE_L","ICE",rtd_data[[#This Row],[Exch]]))</f>
        <v>CME</v>
      </c>
      <c r="I218" t="str">
        <f ca="1">IF(rtd_data[[#This Row],[Product]]="","",IFERROR(INDEX(exch_map[TT_Symbol],MATCH(rtd_data[[#This Row],[Group]],exch_map[Group],0))&amp;"",""))</f>
        <v>SR3</v>
      </c>
      <c r="J218" t="str">
        <f ca="1">IF(rtd_data[[#This Row],[Type]]="Future",PROPER(RIGHT(rtd_data[[#This Row],[Product]],5)),"")</f>
        <v>Mar32</v>
      </c>
    </row>
    <row r="219" spans="1:10" x14ac:dyDescent="0.25">
      <c r="A219" s="11" t="str" cm="1">
        <f t="array" aca="1" ref="A219" ca="1">IFERROR(INDEX(_xlfn.ANCHORARRAY(contracts!$A$6),ROW()-ROW(rtd_data[#Headers]),1),"")</f>
        <v>SR3 JUN32</v>
      </c>
      <c r="B2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9" t="str">
        <f ca="1">IF(rtd_data[[#This Row],[Product]]="","",IF(LEN(TRIM(rtd_data[[#This Row],[Product]]))-LEN(SUBSTITUTE(TRIM(rtd_data[[#This Row],[Product]])," ",""))&gt;=2,"Spread","Future"))</f>
        <v>Future</v>
      </c>
      <c r="D219" t="str">
        <f ca="1">IFERROR(INDEX(exch_map[Exch],MATCH(rtd_data[[#This Row],[Group]],exch_map[Group],0)),"")</f>
        <v>CME</v>
      </c>
      <c r="E219" s="11" t="str" cm="1">
        <f t="array" aca="1" ref="E219" ca="1">IFERROR(INDEX(_xlfn.ANCHORARRAY(contracts!$A$6),ROW()-ROW(rtd_data[#Headers]),2),"")</f>
        <v>Y</v>
      </c>
      <c r="F21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1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19" t="str">
        <f ca="1">IF(rtd_data[[#This Row],[Exch]]="","",IF(rtd_data[[#This Row],[Exch]]="ICE_L","ICE",rtd_data[[#This Row],[Exch]]))</f>
        <v>CME</v>
      </c>
      <c r="I219" t="str">
        <f ca="1">IF(rtd_data[[#This Row],[Product]]="","",IFERROR(INDEX(exch_map[TT_Symbol],MATCH(rtd_data[[#This Row],[Group]],exch_map[Group],0))&amp;"",""))</f>
        <v>SR3</v>
      </c>
      <c r="J219" t="str">
        <f ca="1">IF(rtd_data[[#This Row],[Type]]="Future",PROPER(RIGHT(rtd_data[[#This Row],[Product]],5)),"")</f>
        <v>Jun32</v>
      </c>
    </row>
    <row r="220" spans="1:10" x14ac:dyDescent="0.25">
      <c r="A220" s="11" t="str" cm="1">
        <f t="array" aca="1" ref="A220" ca="1">IFERROR(INDEX(_xlfn.ANCHORARRAY(contracts!$A$6),ROW()-ROW(rtd_data[#Headers]),1),"")</f>
        <v>SR3 SEP32</v>
      </c>
      <c r="B2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20" t="str">
        <f ca="1">IF(rtd_data[[#This Row],[Product]]="","",IF(LEN(TRIM(rtd_data[[#This Row],[Product]]))-LEN(SUBSTITUTE(TRIM(rtd_data[[#This Row],[Product]])," ",""))&gt;=2,"Spread","Future"))</f>
        <v>Future</v>
      </c>
      <c r="D220" t="str">
        <f ca="1">IFERROR(INDEX(exch_map[Exch],MATCH(rtd_data[[#This Row],[Group]],exch_map[Group],0)),"")</f>
        <v>CME</v>
      </c>
      <c r="E220" s="11" t="str" cm="1">
        <f t="array" aca="1" ref="E220" ca="1">IFERROR(INDEX(_xlfn.ANCHORARRAY(contracts!$A$6),ROW()-ROW(rtd_data[#Headers]),2),"")</f>
        <v>Y</v>
      </c>
      <c r="F22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0" t="str">
        <f ca="1">IF(rtd_data[[#This Row],[Exch]]="","",IF(rtd_data[[#This Row],[Exch]]="ICE_L","ICE",rtd_data[[#This Row],[Exch]]))</f>
        <v>CME</v>
      </c>
      <c r="I220" t="str">
        <f ca="1">IF(rtd_data[[#This Row],[Product]]="","",IFERROR(INDEX(exch_map[TT_Symbol],MATCH(rtd_data[[#This Row],[Group]],exch_map[Group],0))&amp;"",""))</f>
        <v>SR3</v>
      </c>
      <c r="J220" t="str">
        <f ca="1">IF(rtd_data[[#This Row],[Type]]="Future",PROPER(RIGHT(rtd_data[[#This Row],[Product]],5)),"")</f>
        <v>Sep32</v>
      </c>
    </row>
    <row r="221" spans="1:10" x14ac:dyDescent="0.25">
      <c r="A221" s="11" t="str" cm="1">
        <f t="array" aca="1" ref="A221" ca="1">IFERROR(INDEX(_xlfn.ANCHORARRAY(contracts!$A$6),ROW()-ROW(rtd_data[#Headers]),1),"")</f>
        <v>TN DEC26</v>
      </c>
      <c r="B2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TN</v>
      </c>
      <c r="C221" t="str">
        <f ca="1">IF(rtd_data[[#This Row],[Product]]="","",IF(LEN(TRIM(rtd_data[[#This Row],[Product]]))-LEN(SUBSTITUTE(TRIM(rtd_data[[#This Row],[Product]])," ",""))&gt;=2,"Spread","Future"))</f>
        <v>Future</v>
      </c>
      <c r="D221" t="str">
        <f ca="1">IFERROR(INDEX(exch_map[Exch],MATCH(rtd_data[[#This Row],[Group]],exch_map[Group],0)),"")</f>
        <v>CME</v>
      </c>
      <c r="E221" s="11" t="str" cm="1">
        <f t="array" aca="1" ref="E221" ca="1">IFERROR(INDEX(_xlfn.ANCHORARRAY(contracts!$A$6),ROW()-ROW(rtd_data[#Headers]),2),"")</f>
        <v>Y</v>
      </c>
      <c r="F22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1" t="str">
        <f ca="1">IF(rtd_data[[#This Row],[Exch]]="","",IF(rtd_data[[#This Row],[Exch]]="ICE_L","ICE",rtd_data[[#This Row],[Exch]]))</f>
        <v>CME</v>
      </c>
      <c r="I221" t="str">
        <f ca="1">IF(rtd_data[[#This Row],[Product]]="","",IFERROR(INDEX(exch_map[TT_Symbol],MATCH(rtd_data[[#This Row],[Group]],exch_map[Group],0))&amp;"",""))</f>
        <v>TN</v>
      </c>
      <c r="J221" t="str">
        <f ca="1">IF(rtd_data[[#This Row],[Type]]="Future",PROPER(RIGHT(rtd_data[[#This Row],[Product]],5)),"")</f>
        <v>Dec26</v>
      </c>
    </row>
    <row r="222" spans="1:10" x14ac:dyDescent="0.25">
      <c r="A222" s="11" t="str" cm="1">
        <f t="array" aca="1" ref="A222" ca="1">IFERROR(INDEX(_xlfn.ANCHORARRAY(contracts!$A$6),ROW()-ROW(rtd_data[#Headers]),1),"")</f>
        <v>TN MAR27</v>
      </c>
      <c r="B2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TN</v>
      </c>
      <c r="C222" t="str">
        <f ca="1">IF(rtd_data[[#This Row],[Product]]="","",IF(LEN(TRIM(rtd_data[[#This Row],[Product]]))-LEN(SUBSTITUTE(TRIM(rtd_data[[#This Row],[Product]])," ",""))&gt;=2,"Spread","Future"))</f>
        <v>Future</v>
      </c>
      <c r="D222" t="str">
        <f ca="1">IFERROR(INDEX(exch_map[Exch],MATCH(rtd_data[[#This Row],[Group]],exch_map[Group],0)),"")</f>
        <v>CME</v>
      </c>
      <c r="E222" s="11" t="str" cm="1">
        <f t="array" aca="1" ref="E222" ca="1">IFERROR(INDEX(_xlfn.ANCHORARRAY(contracts!$A$6),ROW()-ROW(rtd_data[#Headers]),2),"")</f>
        <v>Y</v>
      </c>
      <c r="F22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2" t="str">
        <f ca="1">IF(rtd_data[[#This Row],[Exch]]="","",IF(rtd_data[[#This Row],[Exch]]="ICE_L","ICE",rtd_data[[#This Row],[Exch]]))</f>
        <v>CME</v>
      </c>
      <c r="I222" t="str">
        <f ca="1">IF(rtd_data[[#This Row],[Product]]="","",IFERROR(INDEX(exch_map[TT_Symbol],MATCH(rtd_data[[#This Row],[Group]],exch_map[Group],0))&amp;"",""))</f>
        <v>TN</v>
      </c>
      <c r="J222" t="str">
        <f ca="1">IF(rtd_data[[#This Row],[Type]]="Future",PROPER(RIGHT(rtd_data[[#This Row],[Product]],5)),"")</f>
        <v>Mar27</v>
      </c>
    </row>
    <row r="223" spans="1:10" x14ac:dyDescent="0.25">
      <c r="A223" s="11" t="str" cm="1">
        <f t="array" aca="1" ref="A223" ca="1">IFERROR(INDEX(_xlfn.ANCHORARRAY(contracts!$A$6),ROW()-ROW(rtd_data[#Headers]),1),"")</f>
        <v>TWE DEC26</v>
      </c>
      <c r="B2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TWE</v>
      </c>
      <c r="C223" t="str">
        <f ca="1">IF(rtd_data[[#This Row],[Product]]="","",IF(LEN(TRIM(rtd_data[[#This Row],[Product]]))-LEN(SUBSTITUTE(TRIM(rtd_data[[#This Row],[Product]])," ",""))&gt;=2,"Spread","Future"))</f>
        <v>Future</v>
      </c>
      <c r="D223" t="str">
        <f ca="1">IFERROR(INDEX(exch_map[Exch],MATCH(rtd_data[[#This Row],[Group]],exch_map[Group],0)),"")</f>
        <v>CME</v>
      </c>
      <c r="E223" s="11" t="str" cm="1">
        <f t="array" aca="1" ref="E223" ca="1">IFERROR(INDEX(_xlfn.ANCHORARRAY(contracts!$A$6),ROW()-ROW(rtd_data[#Headers]),2),"")</f>
        <v>Y</v>
      </c>
      <c r="F22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3" t="str">
        <f ca="1">IF(rtd_data[[#This Row],[Exch]]="","",IF(rtd_data[[#This Row],[Exch]]="ICE_L","ICE",rtd_data[[#This Row],[Exch]]))</f>
        <v>CME</v>
      </c>
      <c r="I223" t="str">
        <f ca="1">IF(rtd_data[[#This Row],[Product]]="","",IFERROR(INDEX(exch_map[TT_Symbol],MATCH(rtd_data[[#This Row],[Group]],exch_map[Group],0))&amp;"",""))</f>
        <v>TWE</v>
      </c>
      <c r="J223" t="str">
        <f ca="1">IF(rtd_data[[#This Row],[Type]]="Future",PROPER(RIGHT(rtd_data[[#This Row],[Product]],5)),"")</f>
        <v>Dec26</v>
      </c>
    </row>
    <row r="224" spans="1:10" x14ac:dyDescent="0.25">
      <c r="A224" s="11" t="str" cm="1">
        <f t="array" aca="1" ref="A224" ca="1">IFERROR(INDEX(_xlfn.ANCHORARRAY(contracts!$A$6),ROW()-ROW(rtd_data[#Headers]),1),"")</f>
        <v>TWE MAR27</v>
      </c>
      <c r="B2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TWE</v>
      </c>
      <c r="C224" t="str">
        <f ca="1">IF(rtd_data[[#This Row],[Product]]="","",IF(LEN(TRIM(rtd_data[[#This Row],[Product]]))-LEN(SUBSTITUTE(TRIM(rtd_data[[#This Row],[Product]])," ",""))&gt;=2,"Spread","Future"))</f>
        <v>Future</v>
      </c>
      <c r="D224" t="str">
        <f ca="1">IFERROR(INDEX(exch_map[Exch],MATCH(rtd_data[[#This Row],[Group]],exch_map[Group],0)),"")</f>
        <v>CME</v>
      </c>
      <c r="E224" s="11" t="str" cm="1">
        <f t="array" aca="1" ref="E224" ca="1">IFERROR(INDEX(_xlfn.ANCHORARRAY(contracts!$A$6),ROW()-ROW(rtd_data[#Headers]),2),"")</f>
        <v>Y</v>
      </c>
      <c r="F22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4" t="str">
        <f ca="1">IF(rtd_data[[#This Row],[Exch]]="","",IF(rtd_data[[#This Row],[Exch]]="ICE_L","ICE",rtd_data[[#This Row],[Exch]]))</f>
        <v>CME</v>
      </c>
      <c r="I224" t="str">
        <f ca="1">IF(rtd_data[[#This Row],[Product]]="","",IFERROR(INDEX(exch_map[TT_Symbol],MATCH(rtd_data[[#This Row],[Group]],exch_map[Group],0))&amp;"",""))</f>
        <v>TWE</v>
      </c>
      <c r="J224" t="str">
        <f ca="1">IF(rtd_data[[#This Row],[Type]]="Future",PROPER(RIGHT(rtd_data[[#This Row],[Product]],5)),"")</f>
        <v>Mar27</v>
      </c>
    </row>
    <row r="225" spans="1:10" x14ac:dyDescent="0.25">
      <c r="A225" s="11" t="str" cm="1">
        <f t="array" aca="1" ref="A225" ca="1">IFERROR(INDEX(_xlfn.ANCHORARRAY(contracts!$A$6),ROW()-ROW(rtd_data[#Headers]),1),"")</f>
        <v>UB DEC26</v>
      </c>
      <c r="B2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UB</v>
      </c>
      <c r="C225" t="str">
        <f ca="1">IF(rtd_data[[#This Row],[Product]]="","",IF(LEN(TRIM(rtd_data[[#This Row],[Product]]))-LEN(SUBSTITUTE(TRIM(rtd_data[[#This Row],[Product]])," ",""))&gt;=2,"Spread","Future"))</f>
        <v>Future</v>
      </c>
      <c r="D225" t="str">
        <f ca="1">IFERROR(INDEX(exch_map[Exch],MATCH(rtd_data[[#This Row],[Group]],exch_map[Group],0)),"")</f>
        <v>CME</v>
      </c>
      <c r="E225" s="11" t="str" cm="1">
        <f t="array" aca="1" ref="E225" ca="1">IFERROR(INDEX(_xlfn.ANCHORARRAY(contracts!$A$6),ROW()-ROW(rtd_data[#Headers]),2),"")</f>
        <v>Y</v>
      </c>
      <c r="F22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5" t="str">
        <f ca="1">IF(rtd_data[[#This Row],[Exch]]="","",IF(rtd_data[[#This Row],[Exch]]="ICE_L","ICE",rtd_data[[#This Row],[Exch]]))</f>
        <v>CME</v>
      </c>
      <c r="I225" t="str">
        <f ca="1">IF(rtd_data[[#This Row],[Product]]="","",IFERROR(INDEX(exch_map[TT_Symbol],MATCH(rtd_data[[#This Row],[Group]],exch_map[Group],0))&amp;"",""))</f>
        <v>UB</v>
      </c>
      <c r="J225" t="str">
        <f ca="1">IF(rtd_data[[#This Row],[Type]]="Future",PROPER(RIGHT(rtd_data[[#This Row],[Product]],5)),"")</f>
        <v>Dec26</v>
      </c>
    </row>
    <row r="226" spans="1:10" x14ac:dyDescent="0.25">
      <c r="A226" s="11" t="str" cm="1">
        <f t="array" aca="1" ref="A226" ca="1">IFERROR(INDEX(_xlfn.ANCHORARRAY(contracts!$A$6),ROW()-ROW(rtd_data[#Headers]),1),"")</f>
        <v>UB MAR27</v>
      </c>
      <c r="B2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UB</v>
      </c>
      <c r="C226" t="str">
        <f ca="1">IF(rtd_data[[#This Row],[Product]]="","",IF(LEN(TRIM(rtd_data[[#This Row],[Product]]))-LEN(SUBSTITUTE(TRIM(rtd_data[[#This Row],[Product]])," ",""))&gt;=2,"Spread","Future"))</f>
        <v>Future</v>
      </c>
      <c r="D226" t="str">
        <f ca="1">IFERROR(INDEX(exch_map[Exch],MATCH(rtd_data[[#This Row],[Group]],exch_map[Group],0)),"")</f>
        <v>CME</v>
      </c>
      <c r="E226" s="11" t="str" cm="1">
        <f t="array" aca="1" ref="E226" ca="1">IFERROR(INDEX(_xlfn.ANCHORARRAY(contracts!$A$6),ROW()-ROW(rtd_data[#Headers]),2),"")</f>
        <v>Y</v>
      </c>
      <c r="F22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6" t="str">
        <f ca="1">IF(rtd_data[[#This Row],[Exch]]="","",IF(rtd_data[[#This Row],[Exch]]="ICE_L","ICE",rtd_data[[#This Row],[Exch]]))</f>
        <v>CME</v>
      </c>
      <c r="I226" t="str">
        <f ca="1">IF(rtd_data[[#This Row],[Product]]="","",IFERROR(INDEX(exch_map[TT_Symbol],MATCH(rtd_data[[#This Row],[Group]],exch_map[Group],0))&amp;"",""))</f>
        <v>UB</v>
      </c>
      <c r="J226" t="str">
        <f ca="1">IF(rtd_data[[#This Row],[Type]]="Future",PROPER(RIGHT(rtd_data[[#This Row],[Product]],5)),"")</f>
        <v>Mar27</v>
      </c>
    </row>
    <row r="227" spans="1:10" x14ac:dyDescent="0.25">
      <c r="A227" s="11" t="str" cm="1">
        <f t="array" aca="1" ref="A227" ca="1">IFERROR(INDEX(_xlfn.ANCHORARRAY(contracts!$A$6),ROW()-ROW(rtd_data[#Headers]),1),"")</f>
        <v>US DEC26</v>
      </c>
      <c r="B2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US</v>
      </c>
      <c r="C227" t="str">
        <f ca="1">IF(rtd_data[[#This Row],[Product]]="","",IF(LEN(TRIM(rtd_data[[#This Row],[Product]]))-LEN(SUBSTITUTE(TRIM(rtd_data[[#This Row],[Product]])," ",""))&gt;=2,"Spread","Future"))</f>
        <v>Future</v>
      </c>
      <c r="D227" t="str">
        <f ca="1">IFERROR(INDEX(exch_map[Exch],MATCH(rtd_data[[#This Row],[Group]],exch_map[Group],0)),"")</f>
        <v>CME</v>
      </c>
      <c r="E227" s="11" t="str" cm="1">
        <f t="array" aca="1" ref="E227" ca="1">IFERROR(INDEX(_xlfn.ANCHORARRAY(contracts!$A$6),ROW()-ROW(rtd_data[#Headers]),2),"")</f>
        <v>Y</v>
      </c>
      <c r="F22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7" t="str">
        <f ca="1">IF(rtd_data[[#This Row],[Exch]]="","",IF(rtd_data[[#This Row],[Exch]]="ICE_L","ICE",rtd_data[[#This Row],[Exch]]))</f>
        <v>CME</v>
      </c>
      <c r="I227" t="str">
        <f ca="1">IF(rtd_data[[#This Row],[Product]]="","",IFERROR(INDEX(exch_map[TT_Symbol],MATCH(rtd_data[[#This Row],[Group]],exch_map[Group],0))&amp;"",""))</f>
        <v>US</v>
      </c>
      <c r="J227" t="str">
        <f ca="1">IF(rtd_data[[#This Row],[Type]]="Future",PROPER(RIGHT(rtd_data[[#This Row],[Product]],5)),"")</f>
        <v>Dec26</v>
      </c>
    </row>
    <row r="228" spans="1:10" x14ac:dyDescent="0.25">
      <c r="A228" s="11" t="str" cm="1">
        <f t="array" aca="1" ref="A228" ca="1">IFERROR(INDEX(_xlfn.ANCHORARRAY(contracts!$A$6),ROW()-ROW(rtd_data[#Headers]),1),"")</f>
        <v>US MAR27</v>
      </c>
      <c r="B2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US</v>
      </c>
      <c r="C228" t="str">
        <f ca="1">IF(rtd_data[[#This Row],[Product]]="","",IF(LEN(TRIM(rtd_data[[#This Row],[Product]]))-LEN(SUBSTITUTE(TRIM(rtd_data[[#This Row],[Product]])," ",""))&gt;=2,"Spread","Future"))</f>
        <v>Future</v>
      </c>
      <c r="D228" t="str">
        <f ca="1">IFERROR(INDEX(exch_map[Exch],MATCH(rtd_data[[#This Row],[Group]],exch_map[Group],0)),"")</f>
        <v>CME</v>
      </c>
      <c r="E228" s="11" t="str" cm="1">
        <f t="array" aca="1" ref="E228" ca="1">IFERROR(INDEX(_xlfn.ANCHORARRAY(contracts!$A$6),ROW()-ROW(rtd_data[#Headers]),2),"")</f>
        <v>Y</v>
      </c>
      <c r="F22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8" t="str">
        <f ca="1">IF(rtd_data[[#This Row],[Exch]]="","",IF(rtd_data[[#This Row],[Exch]]="ICE_L","ICE",rtd_data[[#This Row],[Exch]]))</f>
        <v>CME</v>
      </c>
      <c r="I228" t="str">
        <f ca="1">IF(rtd_data[[#This Row],[Product]]="","",IFERROR(INDEX(exch_map[TT_Symbol],MATCH(rtd_data[[#This Row],[Group]],exch_map[Group],0))&amp;"",""))</f>
        <v>US</v>
      </c>
      <c r="J228" t="str">
        <f ca="1">IF(rtd_data[[#This Row],[Type]]="Future",PROPER(RIGHT(rtd_data[[#This Row],[Product]],5)),"")</f>
        <v>Mar27</v>
      </c>
    </row>
    <row r="229" spans="1:10" x14ac:dyDescent="0.25">
      <c r="A229" s="11" t="str" cm="1">
        <f t="array" aca="1" ref="A229" ca="1">IFERROR(INDEX(_xlfn.ANCHORARRAY(contracts!$A$6),ROW()-ROW(rtd_data[#Headers]),1),"")</f>
        <v>Z3N DEC26</v>
      </c>
      <c r="B2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Z3N</v>
      </c>
      <c r="C229" t="str">
        <f ca="1">IF(rtd_data[[#This Row],[Product]]="","",IF(LEN(TRIM(rtd_data[[#This Row],[Product]]))-LEN(SUBSTITUTE(TRIM(rtd_data[[#This Row],[Product]])," ",""))&gt;=2,"Spread","Future"))</f>
        <v>Future</v>
      </c>
      <c r="D229" t="str">
        <f ca="1">IFERROR(INDEX(exch_map[Exch],MATCH(rtd_data[[#This Row],[Group]],exch_map[Group],0)),"")</f>
        <v>CME</v>
      </c>
      <c r="E229" s="11" t="str" cm="1">
        <f t="array" aca="1" ref="E229" ca="1">IFERROR(INDEX(_xlfn.ANCHORARRAY(contracts!$A$6),ROW()-ROW(rtd_data[#Headers]),2),"")</f>
        <v>Y</v>
      </c>
      <c r="F22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2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29" t="str">
        <f ca="1">IF(rtd_data[[#This Row],[Exch]]="","",IF(rtd_data[[#This Row],[Exch]]="ICE_L","ICE",rtd_data[[#This Row],[Exch]]))</f>
        <v>CME</v>
      </c>
      <c r="I229" t="str">
        <f ca="1">IF(rtd_data[[#This Row],[Product]]="","",IFERROR(INDEX(exch_map[TT_Symbol],MATCH(rtd_data[[#This Row],[Group]],exch_map[Group],0))&amp;"",""))</f>
        <v>Z3N</v>
      </c>
      <c r="J229" t="str">
        <f ca="1">IF(rtd_data[[#This Row],[Type]]="Future",PROPER(RIGHT(rtd_data[[#This Row],[Product]],5)),"")</f>
        <v>Dec26</v>
      </c>
    </row>
    <row r="230" spans="1:10" x14ac:dyDescent="0.25">
      <c r="A230" s="11" t="str" cm="1">
        <f t="array" aca="1" ref="A230" ca="1">IFERROR(INDEX(_xlfn.ANCHORARRAY(contracts!$A$6),ROW()-ROW(rtd_data[#Headers]),1),"")</f>
        <v>Z3N MAR27</v>
      </c>
      <c r="B2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Z3N</v>
      </c>
      <c r="C230" t="str">
        <f ca="1">IF(rtd_data[[#This Row],[Product]]="","",IF(LEN(TRIM(rtd_data[[#This Row],[Product]]))-LEN(SUBSTITUTE(TRIM(rtd_data[[#This Row],[Product]])," ",""))&gt;=2,"Spread","Future"))</f>
        <v>Future</v>
      </c>
      <c r="D230" t="str">
        <f ca="1">IFERROR(INDEX(exch_map[Exch],MATCH(rtd_data[[#This Row],[Group]],exch_map[Group],0)),"")</f>
        <v>CME</v>
      </c>
      <c r="E230" s="11" t="str" cm="1">
        <f t="array" aca="1" ref="E230" ca="1">IFERROR(INDEX(_xlfn.ANCHORARRAY(contracts!$A$6),ROW()-ROW(rtd_data[#Headers]),2),"")</f>
        <v>Y</v>
      </c>
      <c r="F23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0" t="str">
        <f ca="1">IF(rtd_data[[#This Row],[Exch]]="","",IF(rtd_data[[#This Row],[Exch]]="ICE_L","ICE",rtd_data[[#This Row],[Exch]]))</f>
        <v>CME</v>
      </c>
      <c r="I230" t="str">
        <f ca="1">IF(rtd_data[[#This Row],[Product]]="","",IFERROR(INDEX(exch_map[TT_Symbol],MATCH(rtd_data[[#This Row],[Group]],exch_map[Group],0))&amp;"",""))</f>
        <v>Z3N</v>
      </c>
      <c r="J230" t="str">
        <f ca="1">IF(rtd_data[[#This Row],[Type]]="Future",PROPER(RIGHT(rtd_data[[#This Row],[Product]],5)),"")</f>
        <v>Mar27</v>
      </c>
    </row>
    <row r="231" spans="1:10" x14ac:dyDescent="0.25">
      <c r="A231" s="11" t="str" cm="1">
        <f t="array" aca="1" ref="A231" ca="1">IFERROR(INDEX(_xlfn.ANCHORARRAY(contracts!$A$6),ROW()-ROW(rtd_data[#Headers]),1),"")</f>
        <v>ZF DEC26</v>
      </c>
      <c r="B2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ZF</v>
      </c>
      <c r="C231" t="str">
        <f ca="1">IF(rtd_data[[#This Row],[Product]]="","",IF(LEN(TRIM(rtd_data[[#This Row],[Product]]))-LEN(SUBSTITUTE(TRIM(rtd_data[[#This Row],[Product]])," ",""))&gt;=2,"Spread","Future"))</f>
        <v>Future</v>
      </c>
      <c r="D231" t="str">
        <f ca="1">IFERROR(INDEX(exch_map[Exch],MATCH(rtd_data[[#This Row],[Group]],exch_map[Group],0)),"")</f>
        <v>CME</v>
      </c>
      <c r="E231" s="11" t="str" cm="1">
        <f t="array" aca="1" ref="E231" ca="1">IFERROR(INDEX(_xlfn.ANCHORARRAY(contracts!$A$6),ROW()-ROW(rtd_data[#Headers]),2),"")</f>
        <v>Y</v>
      </c>
      <c r="F23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1" t="str">
        <f ca="1">IF(rtd_data[[#This Row],[Exch]]="","",IF(rtd_data[[#This Row],[Exch]]="ICE_L","ICE",rtd_data[[#This Row],[Exch]]))</f>
        <v>CME</v>
      </c>
      <c r="I231" t="str">
        <f ca="1">IF(rtd_data[[#This Row],[Product]]="","",IFERROR(INDEX(exch_map[TT_Symbol],MATCH(rtd_data[[#This Row],[Group]],exch_map[Group],0))&amp;"",""))</f>
        <v>ZF</v>
      </c>
      <c r="J231" t="str">
        <f ca="1">IF(rtd_data[[#This Row],[Type]]="Future",PROPER(RIGHT(rtd_data[[#This Row],[Product]],5)),"")</f>
        <v>Dec26</v>
      </c>
    </row>
    <row r="232" spans="1:10" x14ac:dyDescent="0.25">
      <c r="A232" s="11" t="str" cm="1">
        <f t="array" aca="1" ref="A232" ca="1">IFERROR(INDEX(_xlfn.ANCHORARRAY(contracts!$A$6),ROW()-ROW(rtd_data[#Headers]),1),"")</f>
        <v>ZF MAR27</v>
      </c>
      <c r="B2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ZF</v>
      </c>
      <c r="C232" t="str">
        <f ca="1">IF(rtd_data[[#This Row],[Product]]="","",IF(LEN(TRIM(rtd_data[[#This Row],[Product]]))-LEN(SUBSTITUTE(TRIM(rtd_data[[#This Row],[Product]])," ",""))&gt;=2,"Spread","Future"))</f>
        <v>Future</v>
      </c>
      <c r="D232" t="str">
        <f ca="1">IFERROR(INDEX(exch_map[Exch],MATCH(rtd_data[[#This Row],[Group]],exch_map[Group],0)),"")</f>
        <v>CME</v>
      </c>
      <c r="E232" s="11" t="str" cm="1">
        <f t="array" aca="1" ref="E232" ca="1">IFERROR(INDEX(_xlfn.ANCHORARRAY(contracts!$A$6),ROW()-ROW(rtd_data[#Headers]),2),"")</f>
        <v>Y</v>
      </c>
      <c r="F23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2" t="str">
        <f ca="1">IF(rtd_data[[#This Row],[Exch]]="","",IF(rtd_data[[#This Row],[Exch]]="ICE_L","ICE",rtd_data[[#This Row],[Exch]]))</f>
        <v>CME</v>
      </c>
      <c r="I232" t="str">
        <f ca="1">IF(rtd_data[[#This Row],[Product]]="","",IFERROR(INDEX(exch_map[TT_Symbol],MATCH(rtd_data[[#This Row],[Group]],exch_map[Group],0))&amp;"",""))</f>
        <v>ZF</v>
      </c>
      <c r="J232" t="str">
        <f ca="1">IF(rtd_data[[#This Row],[Type]]="Future",PROPER(RIGHT(rtd_data[[#This Row],[Product]],5)),"")</f>
        <v>Mar27</v>
      </c>
    </row>
    <row r="233" spans="1:10" x14ac:dyDescent="0.25">
      <c r="A233" s="11" t="str" cm="1">
        <f t="array" aca="1" ref="A233" ca="1">IFERROR(INDEX(_xlfn.ANCHORARRAY(contracts!$A$6),ROW()-ROW(rtd_data[#Headers]),1),"")</f>
        <v>ZN DEC26</v>
      </c>
      <c r="B2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ZN</v>
      </c>
      <c r="C233" t="str">
        <f ca="1">IF(rtd_data[[#This Row],[Product]]="","",IF(LEN(TRIM(rtd_data[[#This Row],[Product]]))-LEN(SUBSTITUTE(TRIM(rtd_data[[#This Row],[Product]])," ",""))&gt;=2,"Spread","Future"))</f>
        <v>Future</v>
      </c>
      <c r="D233" t="str">
        <f ca="1">IFERROR(INDEX(exch_map[Exch],MATCH(rtd_data[[#This Row],[Group]],exch_map[Group],0)),"")</f>
        <v>CME</v>
      </c>
      <c r="E233" s="11" t="str" cm="1">
        <f t="array" aca="1" ref="E233" ca="1">IFERROR(INDEX(_xlfn.ANCHORARRAY(contracts!$A$6),ROW()-ROW(rtd_data[#Headers]),2),"")</f>
        <v>Y</v>
      </c>
      <c r="F23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3" t="str">
        <f ca="1">IF(rtd_data[[#This Row],[Exch]]="","",IF(rtd_data[[#This Row],[Exch]]="ICE_L","ICE",rtd_data[[#This Row],[Exch]]))</f>
        <v>CME</v>
      </c>
      <c r="I233" t="str">
        <f ca="1">IF(rtd_data[[#This Row],[Product]]="","",IFERROR(INDEX(exch_map[TT_Symbol],MATCH(rtd_data[[#This Row],[Group]],exch_map[Group],0))&amp;"",""))</f>
        <v>ZN</v>
      </c>
      <c r="J233" t="str">
        <f ca="1">IF(rtd_data[[#This Row],[Type]]="Future",PROPER(RIGHT(rtd_data[[#This Row],[Product]],5)),"")</f>
        <v>Dec26</v>
      </c>
    </row>
    <row r="234" spans="1:10" x14ac:dyDescent="0.25">
      <c r="A234" s="11" t="str" cm="1">
        <f t="array" aca="1" ref="A234" ca="1">IFERROR(INDEX(_xlfn.ANCHORARRAY(contracts!$A$6),ROW()-ROW(rtd_data[#Headers]),1),"")</f>
        <v>ZN MAR27</v>
      </c>
      <c r="B2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ZN</v>
      </c>
      <c r="C234" t="str">
        <f ca="1">IF(rtd_data[[#This Row],[Product]]="","",IF(LEN(TRIM(rtd_data[[#This Row],[Product]]))-LEN(SUBSTITUTE(TRIM(rtd_data[[#This Row],[Product]])," ",""))&gt;=2,"Spread","Future"))</f>
        <v>Future</v>
      </c>
      <c r="D234" t="str">
        <f ca="1">IFERROR(INDEX(exch_map[Exch],MATCH(rtd_data[[#This Row],[Group]],exch_map[Group],0)),"")</f>
        <v>CME</v>
      </c>
      <c r="E234" s="11" t="str" cm="1">
        <f t="array" aca="1" ref="E234" ca="1">IFERROR(INDEX(_xlfn.ANCHORARRAY(contracts!$A$6),ROW()-ROW(rtd_data[#Headers]),2),"")</f>
        <v>Y</v>
      </c>
      <c r="F23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4" t="str">
        <f ca="1">IF(rtd_data[[#This Row],[Exch]]="","",IF(rtd_data[[#This Row],[Exch]]="ICE_L","ICE",rtd_data[[#This Row],[Exch]]))</f>
        <v>CME</v>
      </c>
      <c r="I234" t="str">
        <f ca="1">IF(rtd_data[[#This Row],[Product]]="","",IFERROR(INDEX(exch_map[TT_Symbol],MATCH(rtd_data[[#This Row],[Group]],exch_map[Group],0))&amp;"",""))</f>
        <v>ZN</v>
      </c>
      <c r="J234" t="str">
        <f ca="1">IF(rtd_data[[#This Row],[Type]]="Future",PROPER(RIGHT(rtd_data[[#This Row],[Product]],5)),"")</f>
        <v>Mar27</v>
      </c>
    </row>
    <row r="235" spans="1:10" x14ac:dyDescent="0.25">
      <c r="A235" s="11" t="str" cm="1">
        <f t="array" aca="1" ref="A235" ca="1">IFERROR(INDEX(_xlfn.ANCHORARRAY(contracts!$A$6),ROW()-ROW(rtd_data[#Headers]),1),"")</f>
        <v>ZQ DEC26</v>
      </c>
      <c r="B2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ZQ</v>
      </c>
      <c r="C235" t="str">
        <f ca="1">IF(rtd_data[[#This Row],[Product]]="","",IF(LEN(TRIM(rtd_data[[#This Row],[Product]]))-LEN(SUBSTITUTE(TRIM(rtd_data[[#This Row],[Product]])," ",""))&gt;=2,"Spread","Future"))</f>
        <v>Future</v>
      </c>
      <c r="D235" t="str">
        <f ca="1">IFERROR(INDEX(exch_map[Exch],MATCH(rtd_data[[#This Row],[Group]],exch_map[Group],0)),"")</f>
        <v>CME</v>
      </c>
      <c r="E235" s="11" t="str" cm="1">
        <f t="array" aca="1" ref="E235" ca="1">IFERROR(INDEX(_xlfn.ANCHORARRAY(contracts!$A$6),ROW()-ROW(rtd_data[#Headers]),2),"")</f>
        <v>Y</v>
      </c>
      <c r="F23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5" t="str">
        <f ca="1">IF(rtd_data[[#This Row],[Exch]]="","",IF(rtd_data[[#This Row],[Exch]]="ICE_L","ICE",rtd_data[[#This Row],[Exch]]))</f>
        <v>CME</v>
      </c>
      <c r="I235" t="str">
        <f ca="1">IF(rtd_data[[#This Row],[Product]]="","",IFERROR(INDEX(exch_map[TT_Symbol],MATCH(rtd_data[[#This Row],[Group]],exch_map[Group],0))&amp;"",""))</f>
        <v>ZQ</v>
      </c>
      <c r="J235" t="str">
        <f ca="1">IF(rtd_data[[#This Row],[Type]]="Future",PROPER(RIGHT(rtd_data[[#This Row],[Product]],5)),"")</f>
        <v>Dec26</v>
      </c>
    </row>
    <row r="236" spans="1:10" x14ac:dyDescent="0.25">
      <c r="A236" s="11" t="str" cm="1">
        <f t="array" aca="1" ref="A236" ca="1">IFERROR(INDEX(_xlfn.ANCHORARRAY(contracts!$A$6),ROW()-ROW(rtd_data[#Headers]),1),"")</f>
        <v>ZQ MAR27</v>
      </c>
      <c r="B2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ZQ</v>
      </c>
      <c r="C236" t="str">
        <f ca="1">IF(rtd_data[[#This Row],[Product]]="","",IF(LEN(TRIM(rtd_data[[#This Row],[Product]]))-LEN(SUBSTITUTE(TRIM(rtd_data[[#This Row],[Product]])," ",""))&gt;=2,"Spread","Future"))</f>
        <v>Future</v>
      </c>
      <c r="D236" t="str">
        <f ca="1">IFERROR(INDEX(exch_map[Exch],MATCH(rtd_data[[#This Row],[Group]],exch_map[Group],0)),"")</f>
        <v>CME</v>
      </c>
      <c r="E236" s="11" t="str" cm="1">
        <f t="array" aca="1" ref="E236" ca="1">IFERROR(INDEX(_xlfn.ANCHORARRAY(contracts!$A$6),ROW()-ROW(rtd_data[#Headers]),2),"")</f>
        <v>Y</v>
      </c>
      <c r="F23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6" t="str">
        <f ca="1">IF(rtd_data[[#This Row],[Exch]]="","",IF(rtd_data[[#This Row],[Exch]]="ICE_L","ICE",rtd_data[[#This Row],[Exch]]))</f>
        <v>CME</v>
      </c>
      <c r="I236" t="str">
        <f ca="1">IF(rtd_data[[#This Row],[Product]]="","",IFERROR(INDEX(exch_map[TT_Symbol],MATCH(rtd_data[[#This Row],[Group]],exch_map[Group],0))&amp;"",""))</f>
        <v>ZQ</v>
      </c>
      <c r="J236" t="str">
        <f ca="1">IF(rtd_data[[#This Row],[Type]]="Future",PROPER(RIGHT(rtd_data[[#This Row],[Product]],5)),"")</f>
        <v>Mar27</v>
      </c>
    </row>
    <row r="237" spans="1:10" x14ac:dyDescent="0.25">
      <c r="A237" s="11" t="str" cm="1">
        <f t="array" aca="1" ref="A237" ca="1">IFERROR(INDEX(_xlfn.ANCHORARRAY(contracts!$A$6),ROW()-ROW(rtd_data[#Headers]),1),"")</f>
        <v>ZT DEC26</v>
      </c>
      <c r="B2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ZT</v>
      </c>
      <c r="C237" t="str">
        <f ca="1">IF(rtd_data[[#This Row],[Product]]="","",IF(LEN(TRIM(rtd_data[[#This Row],[Product]]))-LEN(SUBSTITUTE(TRIM(rtd_data[[#This Row],[Product]])," ",""))&gt;=2,"Spread","Future"))</f>
        <v>Future</v>
      </c>
      <c r="D237" t="str">
        <f ca="1">IFERROR(INDEX(exch_map[Exch],MATCH(rtd_data[[#This Row],[Group]],exch_map[Group],0)),"")</f>
        <v>CME</v>
      </c>
      <c r="E237" s="11" t="str" cm="1">
        <f t="array" aca="1" ref="E237" ca="1">IFERROR(INDEX(_xlfn.ANCHORARRAY(contracts!$A$6),ROW()-ROW(rtd_data[#Headers]),2),"")</f>
        <v>Y</v>
      </c>
      <c r="F23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7" t="str">
        <f ca="1">IF(rtd_data[[#This Row],[Exch]]="","",IF(rtd_data[[#This Row],[Exch]]="ICE_L","ICE",rtd_data[[#This Row],[Exch]]))</f>
        <v>CME</v>
      </c>
      <c r="I237" t="str">
        <f ca="1">IF(rtd_data[[#This Row],[Product]]="","",IFERROR(INDEX(exch_map[TT_Symbol],MATCH(rtd_data[[#This Row],[Group]],exch_map[Group],0))&amp;"",""))</f>
        <v>ZT</v>
      </c>
      <c r="J237" t="str">
        <f ca="1">IF(rtd_data[[#This Row],[Type]]="Future",PROPER(RIGHT(rtd_data[[#This Row],[Product]],5)),"")</f>
        <v>Dec26</v>
      </c>
    </row>
    <row r="238" spans="1:10" x14ac:dyDescent="0.25">
      <c r="A238" s="11" t="str" cm="1">
        <f t="array" aca="1" ref="A238" ca="1">IFERROR(INDEX(_xlfn.ANCHORARRAY(contracts!$A$6),ROW()-ROW(rtd_data[#Headers]),1),"")</f>
        <v>ZT MAR27</v>
      </c>
      <c r="B2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ZT</v>
      </c>
      <c r="C238" t="str">
        <f ca="1">IF(rtd_data[[#This Row],[Product]]="","",IF(LEN(TRIM(rtd_data[[#This Row],[Product]]))-LEN(SUBSTITUTE(TRIM(rtd_data[[#This Row],[Product]])," ",""))&gt;=2,"Spread","Future"))</f>
        <v>Future</v>
      </c>
      <c r="D238" t="str">
        <f ca="1">IFERROR(INDEX(exch_map[Exch],MATCH(rtd_data[[#This Row],[Group]],exch_map[Group],0)),"")</f>
        <v>CME</v>
      </c>
      <c r="E238" s="11" t="str" cm="1">
        <f t="array" aca="1" ref="E238" ca="1">IFERROR(INDEX(_xlfn.ANCHORARRAY(contracts!$A$6),ROW()-ROW(rtd_data[#Headers]),2),"")</f>
        <v>Y</v>
      </c>
      <c r="F23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8" t="str">
        <f ca="1">IF(rtd_data[[#This Row],[Exch]]="","",IF(rtd_data[[#This Row],[Exch]]="ICE_L","ICE",rtd_data[[#This Row],[Exch]]))</f>
        <v>CME</v>
      </c>
      <c r="I238" t="str">
        <f ca="1">IF(rtd_data[[#This Row],[Product]]="","",IFERROR(INDEX(exch_map[TT_Symbol],MATCH(rtd_data[[#This Row],[Group]],exch_map[Group],0))&amp;"",""))</f>
        <v>ZT</v>
      </c>
      <c r="J238" t="str">
        <f ca="1">IF(rtd_data[[#This Row],[Type]]="Future",PROPER(RIGHT(rtd_data[[#This Row],[Product]],5)),"")</f>
        <v>Mar27</v>
      </c>
    </row>
    <row r="239" spans="1:10" x14ac:dyDescent="0.25">
      <c r="A239" s="11" t="str" cm="1">
        <f t="array" aca="1" ref="A239" ca="1">IFERROR(INDEX(_xlfn.ANCHORARRAY(contracts!$A$6),ROW()-ROW(rtd_data[#Headers]),1),"")</f>
        <v>VX DEC26</v>
      </c>
      <c r="B2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VX</v>
      </c>
      <c r="C239" t="str">
        <f ca="1">IF(rtd_data[[#This Row],[Product]]="","",IF(LEN(TRIM(rtd_data[[#This Row],[Product]]))-LEN(SUBSTITUTE(TRIM(rtd_data[[#This Row],[Product]])," ",""))&gt;=2,"Spread","Future"))</f>
        <v>Future</v>
      </c>
      <c r="D239" t="str">
        <f ca="1">IFERROR(INDEX(exch_map[Exch],MATCH(rtd_data[[#This Row],[Group]],exch_map[Group],0)),"")</f>
        <v>CFE</v>
      </c>
      <c r="E239" s="11" t="str" cm="1">
        <f t="array" aca="1" ref="E239" ca="1">IFERROR(INDEX(_xlfn.ANCHORARRAY(contracts!$A$6),ROW()-ROW(rtd_data[#Headers]),2),"")</f>
        <v>Y</v>
      </c>
      <c r="F23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3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39" t="str">
        <f ca="1">IF(rtd_data[[#This Row],[Exch]]="","",IF(rtd_data[[#This Row],[Exch]]="ICE_L","ICE",rtd_data[[#This Row],[Exch]]))</f>
        <v>CFE</v>
      </c>
      <c r="I239" t="str">
        <f ca="1">IF(rtd_data[[#This Row],[Product]]="","",IFERROR(INDEX(exch_map[TT_Symbol],MATCH(rtd_data[[#This Row],[Group]],exch_map[Group],0))&amp;"",""))</f>
        <v>VX</v>
      </c>
      <c r="J239" t="str">
        <f ca="1">IF(rtd_data[[#This Row],[Type]]="Future",PROPER(RIGHT(rtd_data[[#This Row],[Product]],5)),"")</f>
        <v>Dec26</v>
      </c>
    </row>
    <row r="240" spans="1:10" x14ac:dyDescent="0.25">
      <c r="A240" s="11" t="str" cm="1">
        <f t="array" aca="1" ref="A240" ca="1">IFERROR(INDEX(_xlfn.ANCHORARRAY(contracts!$A$6),ROW()-ROW(rtd_data[#Headers]),1),"")</f>
        <v>VX MAR27</v>
      </c>
      <c r="B2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VX</v>
      </c>
      <c r="C240" t="str">
        <f ca="1">IF(rtd_data[[#This Row],[Product]]="","",IF(LEN(TRIM(rtd_data[[#This Row],[Product]]))-LEN(SUBSTITUTE(TRIM(rtd_data[[#This Row],[Product]])," ",""))&gt;=2,"Spread","Future"))</f>
        <v>Future</v>
      </c>
      <c r="D240" t="str">
        <f ca="1">IFERROR(INDEX(exch_map[Exch],MATCH(rtd_data[[#This Row],[Group]],exch_map[Group],0)),"")</f>
        <v>CFE</v>
      </c>
      <c r="E240" s="11" t="str" cm="1">
        <f t="array" aca="1" ref="E240" ca="1">IFERROR(INDEX(_xlfn.ANCHORARRAY(contracts!$A$6),ROW()-ROW(rtd_data[#Headers]),2),"")</f>
        <v>Y</v>
      </c>
      <c r="F24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0" t="str">
        <f ca="1">IF(rtd_data[[#This Row],[Exch]]="","",IF(rtd_data[[#This Row],[Exch]]="ICE_L","ICE",rtd_data[[#This Row],[Exch]]))</f>
        <v>CFE</v>
      </c>
      <c r="I240" t="str">
        <f ca="1">IF(rtd_data[[#This Row],[Product]]="","",IFERROR(INDEX(exch_map[TT_Symbol],MATCH(rtd_data[[#This Row],[Group]],exch_map[Group],0))&amp;"",""))</f>
        <v>VX</v>
      </c>
      <c r="J240" t="str">
        <f ca="1">IF(rtd_data[[#This Row],[Type]]="Future",PROPER(RIGHT(rtd_data[[#This Row],[Product]],5)),"")</f>
        <v>Mar27</v>
      </c>
    </row>
    <row r="241" spans="1:10" x14ac:dyDescent="0.25">
      <c r="A241" s="11" t="str" cm="1">
        <f t="array" aca="1" ref="A241" ca="1">IFERROR(INDEX(_xlfn.ANCHORARRAY(contracts!$A$6),ROW()-ROW(rtd_data[#Headers]),1),"")</f>
        <v>IR DEC26</v>
      </c>
      <c r="B2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1" t="str">
        <f ca="1">IF(rtd_data[[#This Row],[Product]]="","",IF(LEN(TRIM(rtd_data[[#This Row],[Product]]))-LEN(SUBSTITUTE(TRIM(rtd_data[[#This Row],[Product]])," ",""))&gt;=2,"Spread","Future"))</f>
        <v>Future</v>
      </c>
      <c r="D241" t="str">
        <f ca="1">IFERROR(INDEX(exch_map[Exch],MATCH(rtd_data[[#This Row],[Group]],exch_map[Group],0)),"")</f>
        <v>ASX</v>
      </c>
      <c r="E241" s="11" t="str" cm="1">
        <f t="array" aca="1" ref="E241" ca="1">IFERROR(INDEX(_xlfn.ANCHORARRAY(contracts!$A$6),ROW()-ROW(rtd_data[#Headers]),2),"")</f>
        <v>Y</v>
      </c>
      <c r="F24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1" t="str">
        <f ca="1">IF(rtd_data[[#This Row],[Exch]]="","",IF(rtd_data[[#This Row],[Exch]]="ICE_L","ICE",rtd_data[[#This Row],[Exch]]))</f>
        <v>ASX</v>
      </c>
      <c r="I241" t="str">
        <f ca="1">IF(rtd_data[[#This Row],[Product]]="","",IFERROR(INDEX(exch_map[TT_Symbol],MATCH(rtd_data[[#This Row],[Group]],exch_map[Group],0))&amp;"",""))</f>
        <v>IR</v>
      </c>
      <c r="J241" t="str">
        <f ca="1">IF(rtd_data[[#This Row],[Type]]="Future",PROPER(RIGHT(rtd_data[[#This Row],[Product]],5)),"")</f>
        <v>Dec26</v>
      </c>
    </row>
    <row r="242" spans="1:10" x14ac:dyDescent="0.25">
      <c r="A242" s="11" t="str" cm="1">
        <f t="array" aca="1" ref="A242" ca="1">IFERROR(INDEX(_xlfn.ANCHORARRAY(contracts!$A$6),ROW()-ROW(rtd_data[#Headers]),1),"")</f>
        <v>IR MAR27</v>
      </c>
      <c r="B2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2" t="str">
        <f ca="1">IF(rtd_data[[#This Row],[Product]]="","",IF(LEN(TRIM(rtd_data[[#This Row],[Product]]))-LEN(SUBSTITUTE(TRIM(rtd_data[[#This Row],[Product]])," ",""))&gt;=2,"Spread","Future"))</f>
        <v>Future</v>
      </c>
      <c r="D242" t="str">
        <f ca="1">IFERROR(INDEX(exch_map[Exch],MATCH(rtd_data[[#This Row],[Group]],exch_map[Group],0)),"")</f>
        <v>ASX</v>
      </c>
      <c r="E242" s="11" t="str" cm="1">
        <f t="array" aca="1" ref="E242" ca="1">IFERROR(INDEX(_xlfn.ANCHORARRAY(contracts!$A$6),ROW()-ROW(rtd_data[#Headers]),2),"")</f>
        <v>Y</v>
      </c>
      <c r="F24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2" t="str">
        <f ca="1">IF(rtd_data[[#This Row],[Exch]]="","",IF(rtd_data[[#This Row],[Exch]]="ICE_L","ICE",rtd_data[[#This Row],[Exch]]))</f>
        <v>ASX</v>
      </c>
      <c r="I242" t="str">
        <f ca="1">IF(rtd_data[[#This Row],[Product]]="","",IFERROR(INDEX(exch_map[TT_Symbol],MATCH(rtd_data[[#This Row],[Group]],exch_map[Group],0))&amp;"",""))</f>
        <v>IR</v>
      </c>
      <c r="J242" t="str">
        <f ca="1">IF(rtd_data[[#This Row],[Type]]="Future",PROPER(RIGHT(rtd_data[[#This Row],[Product]],5)),"")</f>
        <v>Mar27</v>
      </c>
    </row>
    <row r="243" spans="1:10" x14ac:dyDescent="0.25">
      <c r="A243" s="11" t="str" cm="1">
        <f t="array" aca="1" ref="A243" ca="1">IFERROR(INDEX(_xlfn.ANCHORARRAY(contracts!$A$6),ROW()-ROW(rtd_data[#Headers]),1),"")</f>
        <v>IR JUN27</v>
      </c>
      <c r="B2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3" t="str">
        <f ca="1">IF(rtd_data[[#This Row],[Product]]="","",IF(LEN(TRIM(rtd_data[[#This Row],[Product]]))-LEN(SUBSTITUTE(TRIM(rtd_data[[#This Row],[Product]])," ",""))&gt;=2,"Spread","Future"))</f>
        <v>Future</v>
      </c>
      <c r="D243" t="str">
        <f ca="1">IFERROR(INDEX(exch_map[Exch],MATCH(rtd_data[[#This Row],[Group]],exch_map[Group],0)),"")</f>
        <v>ASX</v>
      </c>
      <c r="E243" s="11" t="str" cm="1">
        <f t="array" aca="1" ref="E243" ca="1">IFERROR(INDEX(_xlfn.ANCHORARRAY(contracts!$A$6),ROW()-ROW(rtd_data[#Headers]),2),"")</f>
        <v>Y</v>
      </c>
      <c r="F24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3" t="str">
        <f ca="1">IF(rtd_data[[#This Row],[Exch]]="","",IF(rtd_data[[#This Row],[Exch]]="ICE_L","ICE",rtd_data[[#This Row],[Exch]]))</f>
        <v>ASX</v>
      </c>
      <c r="I243" t="str">
        <f ca="1">IF(rtd_data[[#This Row],[Product]]="","",IFERROR(INDEX(exch_map[TT_Symbol],MATCH(rtd_data[[#This Row],[Group]],exch_map[Group],0))&amp;"",""))</f>
        <v>IR</v>
      </c>
      <c r="J243" t="str">
        <f ca="1">IF(rtd_data[[#This Row],[Type]]="Future",PROPER(RIGHT(rtd_data[[#This Row],[Product]],5)),"")</f>
        <v>Jun27</v>
      </c>
    </row>
    <row r="244" spans="1:10" x14ac:dyDescent="0.25">
      <c r="A244" s="11" t="str" cm="1">
        <f t="array" aca="1" ref="A244" ca="1">IFERROR(INDEX(_xlfn.ANCHORARRAY(contracts!$A$6),ROW()-ROW(rtd_data[#Headers]),1),"")</f>
        <v>IR SEP27</v>
      </c>
      <c r="B2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4" t="str">
        <f ca="1">IF(rtd_data[[#This Row],[Product]]="","",IF(LEN(TRIM(rtd_data[[#This Row],[Product]]))-LEN(SUBSTITUTE(TRIM(rtd_data[[#This Row],[Product]])," ",""))&gt;=2,"Spread","Future"))</f>
        <v>Future</v>
      </c>
      <c r="D244" t="str">
        <f ca="1">IFERROR(INDEX(exch_map[Exch],MATCH(rtd_data[[#This Row],[Group]],exch_map[Group],0)),"")</f>
        <v>ASX</v>
      </c>
      <c r="E244" s="11" t="str" cm="1">
        <f t="array" aca="1" ref="E244" ca="1">IFERROR(INDEX(_xlfn.ANCHORARRAY(contracts!$A$6),ROW()-ROW(rtd_data[#Headers]),2),"")</f>
        <v>Y</v>
      </c>
      <c r="F24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4" t="str">
        <f ca="1">IF(rtd_data[[#This Row],[Exch]]="","",IF(rtd_data[[#This Row],[Exch]]="ICE_L","ICE",rtd_data[[#This Row],[Exch]]))</f>
        <v>ASX</v>
      </c>
      <c r="I244" t="str">
        <f ca="1">IF(rtd_data[[#This Row],[Product]]="","",IFERROR(INDEX(exch_map[TT_Symbol],MATCH(rtd_data[[#This Row],[Group]],exch_map[Group],0))&amp;"",""))</f>
        <v>IR</v>
      </c>
      <c r="J244" t="str">
        <f ca="1">IF(rtd_data[[#This Row],[Type]]="Future",PROPER(RIGHT(rtd_data[[#This Row],[Product]],5)),"")</f>
        <v>Sep27</v>
      </c>
    </row>
    <row r="245" spans="1:10" x14ac:dyDescent="0.25">
      <c r="A245" s="11" t="str" cm="1">
        <f t="array" aca="1" ref="A245" ca="1">IFERROR(INDEX(_xlfn.ANCHORARRAY(contracts!$A$6),ROW()-ROW(rtd_data[#Headers]),1),"")</f>
        <v>IR DEC27</v>
      </c>
      <c r="B2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5" t="str">
        <f ca="1">IF(rtd_data[[#This Row],[Product]]="","",IF(LEN(TRIM(rtd_data[[#This Row],[Product]]))-LEN(SUBSTITUTE(TRIM(rtd_data[[#This Row],[Product]])," ",""))&gt;=2,"Spread","Future"))</f>
        <v>Future</v>
      </c>
      <c r="D245" t="str">
        <f ca="1">IFERROR(INDEX(exch_map[Exch],MATCH(rtd_data[[#This Row],[Group]],exch_map[Group],0)),"")</f>
        <v>ASX</v>
      </c>
      <c r="E245" s="11" t="str" cm="1">
        <f t="array" aca="1" ref="E245" ca="1">IFERROR(INDEX(_xlfn.ANCHORARRAY(contracts!$A$6),ROW()-ROW(rtd_data[#Headers]),2),"")</f>
        <v>Y</v>
      </c>
      <c r="F24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5" t="str">
        <f ca="1">IF(rtd_data[[#This Row],[Exch]]="","",IF(rtd_data[[#This Row],[Exch]]="ICE_L","ICE",rtd_data[[#This Row],[Exch]]))</f>
        <v>ASX</v>
      </c>
      <c r="I245" t="str">
        <f ca="1">IF(rtd_data[[#This Row],[Product]]="","",IFERROR(INDEX(exch_map[TT_Symbol],MATCH(rtd_data[[#This Row],[Group]],exch_map[Group],0))&amp;"",""))</f>
        <v>IR</v>
      </c>
      <c r="J245" t="str">
        <f ca="1">IF(rtd_data[[#This Row],[Type]]="Future",PROPER(RIGHT(rtd_data[[#This Row],[Product]],5)),"")</f>
        <v>Dec27</v>
      </c>
    </row>
    <row r="246" spans="1:10" x14ac:dyDescent="0.25">
      <c r="A246" s="11" t="str" cm="1">
        <f t="array" aca="1" ref="A246" ca="1">IFERROR(INDEX(_xlfn.ANCHORARRAY(contracts!$A$6),ROW()-ROW(rtd_data[#Headers]),1),"")</f>
        <v>IR MAR28</v>
      </c>
      <c r="B2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6" t="str">
        <f ca="1">IF(rtd_data[[#This Row],[Product]]="","",IF(LEN(TRIM(rtd_data[[#This Row],[Product]]))-LEN(SUBSTITUTE(TRIM(rtd_data[[#This Row],[Product]])," ",""))&gt;=2,"Spread","Future"))</f>
        <v>Future</v>
      </c>
      <c r="D246" t="str">
        <f ca="1">IFERROR(INDEX(exch_map[Exch],MATCH(rtd_data[[#This Row],[Group]],exch_map[Group],0)),"")</f>
        <v>ASX</v>
      </c>
      <c r="E246" s="11" t="str" cm="1">
        <f t="array" aca="1" ref="E246" ca="1">IFERROR(INDEX(_xlfn.ANCHORARRAY(contracts!$A$6),ROW()-ROW(rtd_data[#Headers]),2),"")</f>
        <v>Y</v>
      </c>
      <c r="F24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6" t="str">
        <f ca="1">IF(rtd_data[[#This Row],[Exch]]="","",IF(rtd_data[[#This Row],[Exch]]="ICE_L","ICE",rtd_data[[#This Row],[Exch]]))</f>
        <v>ASX</v>
      </c>
      <c r="I246" t="str">
        <f ca="1">IF(rtd_data[[#This Row],[Product]]="","",IFERROR(INDEX(exch_map[TT_Symbol],MATCH(rtd_data[[#This Row],[Group]],exch_map[Group],0))&amp;"",""))</f>
        <v>IR</v>
      </c>
      <c r="J246" t="str">
        <f ca="1">IF(rtd_data[[#This Row],[Type]]="Future",PROPER(RIGHT(rtd_data[[#This Row],[Product]],5)),"")</f>
        <v>Mar28</v>
      </c>
    </row>
    <row r="247" spans="1:10" x14ac:dyDescent="0.25">
      <c r="A247" s="11" t="str" cm="1">
        <f t="array" aca="1" ref="A247" ca="1">IFERROR(INDEX(_xlfn.ANCHORARRAY(contracts!$A$6),ROW()-ROW(rtd_data[#Headers]),1),"")</f>
        <v>IR JUN28</v>
      </c>
      <c r="B2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7" t="str">
        <f ca="1">IF(rtd_data[[#This Row],[Product]]="","",IF(LEN(TRIM(rtd_data[[#This Row],[Product]]))-LEN(SUBSTITUTE(TRIM(rtd_data[[#This Row],[Product]])," ",""))&gt;=2,"Spread","Future"))</f>
        <v>Future</v>
      </c>
      <c r="D247" t="str">
        <f ca="1">IFERROR(INDEX(exch_map[Exch],MATCH(rtd_data[[#This Row],[Group]],exch_map[Group],0)),"")</f>
        <v>ASX</v>
      </c>
      <c r="E247" s="11" t="str" cm="1">
        <f t="array" aca="1" ref="E247" ca="1">IFERROR(INDEX(_xlfn.ANCHORARRAY(contracts!$A$6),ROW()-ROW(rtd_data[#Headers]),2),"")</f>
        <v>Y</v>
      </c>
      <c r="F247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7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7" t="str">
        <f ca="1">IF(rtd_data[[#This Row],[Exch]]="","",IF(rtd_data[[#This Row],[Exch]]="ICE_L","ICE",rtd_data[[#This Row],[Exch]]))</f>
        <v>ASX</v>
      </c>
      <c r="I247" t="str">
        <f ca="1">IF(rtd_data[[#This Row],[Product]]="","",IFERROR(INDEX(exch_map[TT_Symbol],MATCH(rtd_data[[#This Row],[Group]],exch_map[Group],0))&amp;"",""))</f>
        <v>IR</v>
      </c>
      <c r="J247" t="str">
        <f ca="1">IF(rtd_data[[#This Row],[Type]]="Future",PROPER(RIGHT(rtd_data[[#This Row],[Product]],5)),"")</f>
        <v>Jun28</v>
      </c>
    </row>
    <row r="248" spans="1:10" x14ac:dyDescent="0.25">
      <c r="A248" s="11" t="str" cm="1">
        <f t="array" aca="1" ref="A248" ca="1">IFERROR(INDEX(_xlfn.ANCHORARRAY(contracts!$A$6),ROW()-ROW(rtd_data[#Headers]),1),"")</f>
        <v>IR SEP28</v>
      </c>
      <c r="B2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8" t="str">
        <f ca="1">IF(rtd_data[[#This Row],[Product]]="","",IF(LEN(TRIM(rtd_data[[#This Row],[Product]]))-LEN(SUBSTITUTE(TRIM(rtd_data[[#This Row],[Product]])," ",""))&gt;=2,"Spread","Future"))</f>
        <v>Future</v>
      </c>
      <c r="D248" t="str">
        <f ca="1">IFERROR(INDEX(exch_map[Exch],MATCH(rtd_data[[#This Row],[Group]],exch_map[Group],0)),"")</f>
        <v>ASX</v>
      </c>
      <c r="E248" s="11" t="str" cm="1">
        <f t="array" aca="1" ref="E248" ca="1">IFERROR(INDEX(_xlfn.ANCHORARRAY(contracts!$A$6),ROW()-ROW(rtd_data[#Headers]),2),"")</f>
        <v>Y</v>
      </c>
      <c r="F248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8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8" t="str">
        <f ca="1">IF(rtd_data[[#This Row],[Exch]]="","",IF(rtd_data[[#This Row],[Exch]]="ICE_L","ICE",rtd_data[[#This Row],[Exch]]))</f>
        <v>ASX</v>
      </c>
      <c r="I248" t="str">
        <f ca="1">IF(rtd_data[[#This Row],[Product]]="","",IFERROR(INDEX(exch_map[TT_Symbol],MATCH(rtd_data[[#This Row],[Group]],exch_map[Group],0))&amp;"",""))</f>
        <v>IR</v>
      </c>
      <c r="J248" t="str">
        <f ca="1">IF(rtd_data[[#This Row],[Type]]="Future",PROPER(RIGHT(rtd_data[[#This Row],[Product]],5)),"")</f>
        <v>Sep28</v>
      </c>
    </row>
    <row r="249" spans="1:10" x14ac:dyDescent="0.25">
      <c r="A249" s="11" t="str" cm="1">
        <f t="array" aca="1" ref="A249" ca="1">IFERROR(INDEX(_xlfn.ANCHORARRAY(contracts!$A$6),ROW()-ROW(rtd_data[#Headers]),1),"")</f>
        <v>IR DEC28</v>
      </c>
      <c r="B2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9" t="str">
        <f ca="1">IF(rtd_data[[#This Row],[Product]]="","",IF(LEN(TRIM(rtd_data[[#This Row],[Product]]))-LEN(SUBSTITUTE(TRIM(rtd_data[[#This Row],[Product]])," ",""))&gt;=2,"Spread","Future"))</f>
        <v>Future</v>
      </c>
      <c r="D249" t="str">
        <f ca="1">IFERROR(INDEX(exch_map[Exch],MATCH(rtd_data[[#This Row],[Group]],exch_map[Group],0)),"")</f>
        <v>ASX</v>
      </c>
      <c r="E249" s="11" t="str" cm="1">
        <f t="array" aca="1" ref="E249" ca="1">IFERROR(INDEX(_xlfn.ANCHORARRAY(contracts!$A$6),ROW()-ROW(rtd_data[#Headers]),2),"")</f>
        <v>Y</v>
      </c>
      <c r="F24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4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49" t="str">
        <f ca="1">IF(rtd_data[[#This Row],[Exch]]="","",IF(rtd_data[[#This Row],[Exch]]="ICE_L","ICE",rtd_data[[#This Row],[Exch]]))</f>
        <v>ASX</v>
      </c>
      <c r="I249" t="str">
        <f ca="1">IF(rtd_data[[#This Row],[Product]]="","",IFERROR(INDEX(exch_map[TT_Symbol],MATCH(rtd_data[[#This Row],[Group]],exch_map[Group],0))&amp;"",""))</f>
        <v>IR</v>
      </c>
      <c r="J249" t="str">
        <f ca="1">IF(rtd_data[[#This Row],[Type]]="Future",PROPER(RIGHT(rtd_data[[#This Row],[Product]],5)),"")</f>
        <v>Dec28</v>
      </c>
    </row>
    <row r="250" spans="1:10" x14ac:dyDescent="0.25">
      <c r="A250" s="11" t="str" cm="1">
        <f t="array" aca="1" ref="A250" ca="1">IFERROR(INDEX(_xlfn.ANCHORARRAY(contracts!$A$6),ROW()-ROW(rtd_data[#Headers]),1),"")</f>
        <v>IR MAR29</v>
      </c>
      <c r="B2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0" t="str">
        <f ca="1">IF(rtd_data[[#This Row],[Product]]="","",IF(LEN(TRIM(rtd_data[[#This Row],[Product]]))-LEN(SUBSTITUTE(TRIM(rtd_data[[#This Row],[Product]])," ",""))&gt;=2,"Spread","Future"))</f>
        <v>Future</v>
      </c>
      <c r="D250" t="str">
        <f ca="1">IFERROR(INDEX(exch_map[Exch],MATCH(rtd_data[[#This Row],[Group]],exch_map[Group],0)),"")</f>
        <v>ASX</v>
      </c>
      <c r="E250" s="11" t="str" cm="1">
        <f t="array" aca="1" ref="E250" ca="1">IFERROR(INDEX(_xlfn.ANCHORARRAY(contracts!$A$6),ROW()-ROW(rtd_data[#Headers]),2),"")</f>
        <v>Y</v>
      </c>
      <c r="F25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0" t="str">
        <f ca="1">IF(rtd_data[[#This Row],[Exch]]="","",IF(rtd_data[[#This Row],[Exch]]="ICE_L","ICE",rtd_data[[#This Row],[Exch]]))</f>
        <v>ASX</v>
      </c>
      <c r="I250" t="str">
        <f ca="1">IF(rtd_data[[#This Row],[Product]]="","",IFERROR(INDEX(exch_map[TT_Symbol],MATCH(rtd_data[[#This Row],[Group]],exch_map[Group],0))&amp;"",""))</f>
        <v>IR</v>
      </c>
      <c r="J250" t="str">
        <f ca="1">IF(rtd_data[[#This Row],[Type]]="Future",PROPER(RIGHT(rtd_data[[#This Row],[Product]],5)),"")</f>
        <v>Mar29</v>
      </c>
    </row>
    <row r="251" spans="1:10" x14ac:dyDescent="0.25">
      <c r="A251" s="11" t="str" cm="1">
        <f t="array" aca="1" ref="A251" ca="1">IFERROR(INDEX(_xlfn.ANCHORARRAY(contracts!$A$6),ROW()-ROW(rtd_data[#Headers]),1),"")</f>
        <v>IR JUN29</v>
      </c>
      <c r="B2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1" t="str">
        <f ca="1">IF(rtd_data[[#This Row],[Product]]="","",IF(LEN(TRIM(rtd_data[[#This Row],[Product]]))-LEN(SUBSTITUTE(TRIM(rtd_data[[#This Row],[Product]])," ",""))&gt;=2,"Spread","Future"))</f>
        <v>Future</v>
      </c>
      <c r="D251" t="str">
        <f ca="1">IFERROR(INDEX(exch_map[Exch],MATCH(rtd_data[[#This Row],[Group]],exch_map[Group],0)),"")</f>
        <v>ASX</v>
      </c>
      <c r="E251" s="11" t="str" cm="1">
        <f t="array" aca="1" ref="E251" ca="1">IFERROR(INDEX(_xlfn.ANCHORARRAY(contracts!$A$6),ROW()-ROW(rtd_data[#Headers]),2),"")</f>
        <v>Y</v>
      </c>
      <c r="F25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1" t="str">
        <f ca="1">IF(rtd_data[[#This Row],[Exch]]="","",IF(rtd_data[[#This Row],[Exch]]="ICE_L","ICE",rtd_data[[#This Row],[Exch]]))</f>
        <v>ASX</v>
      </c>
      <c r="I251" t="str">
        <f ca="1">IF(rtd_data[[#This Row],[Product]]="","",IFERROR(INDEX(exch_map[TT_Symbol],MATCH(rtd_data[[#This Row],[Group]],exch_map[Group],0))&amp;"",""))</f>
        <v>IR</v>
      </c>
      <c r="J251" t="str">
        <f ca="1">IF(rtd_data[[#This Row],[Type]]="Future",PROPER(RIGHT(rtd_data[[#This Row],[Product]],5)),"")</f>
        <v>Jun29</v>
      </c>
    </row>
    <row r="252" spans="1:10" x14ac:dyDescent="0.25">
      <c r="A252" s="11" t="str" cm="1">
        <f t="array" aca="1" ref="A252" ca="1">IFERROR(INDEX(_xlfn.ANCHORARRAY(contracts!$A$6),ROW()-ROW(rtd_data[#Headers]),1),"")</f>
        <v>IR SEP29</v>
      </c>
      <c r="B2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2" t="str">
        <f ca="1">IF(rtd_data[[#This Row],[Product]]="","",IF(LEN(TRIM(rtd_data[[#This Row],[Product]]))-LEN(SUBSTITUTE(TRIM(rtd_data[[#This Row],[Product]])," ",""))&gt;=2,"Spread","Future"))</f>
        <v>Future</v>
      </c>
      <c r="D252" t="str">
        <f ca="1">IFERROR(INDEX(exch_map[Exch],MATCH(rtd_data[[#This Row],[Group]],exch_map[Group],0)),"")</f>
        <v>ASX</v>
      </c>
      <c r="E252" s="11" t="str" cm="1">
        <f t="array" aca="1" ref="E252" ca="1">IFERROR(INDEX(_xlfn.ANCHORARRAY(contracts!$A$6),ROW()-ROW(rtd_data[#Headers]),2),"")</f>
        <v>Y</v>
      </c>
      <c r="F25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2" t="str">
        <f ca="1">IF(rtd_data[[#This Row],[Exch]]="","",IF(rtd_data[[#This Row],[Exch]]="ICE_L","ICE",rtd_data[[#This Row],[Exch]]))</f>
        <v>ASX</v>
      </c>
      <c r="I252" t="str">
        <f ca="1">IF(rtd_data[[#This Row],[Product]]="","",IFERROR(INDEX(exch_map[TT_Symbol],MATCH(rtd_data[[#This Row],[Group]],exch_map[Group],0))&amp;"",""))</f>
        <v>IR</v>
      </c>
      <c r="J252" t="str">
        <f ca="1">IF(rtd_data[[#This Row],[Type]]="Future",PROPER(RIGHT(rtd_data[[#This Row],[Product]],5)),"")</f>
        <v>Sep29</v>
      </c>
    </row>
    <row r="253" spans="1:10" x14ac:dyDescent="0.25">
      <c r="A253" s="11" t="str" cm="1">
        <f t="array" aca="1" ref="A253" ca="1">IFERROR(INDEX(_xlfn.ANCHORARRAY(contracts!$A$6),ROW()-ROW(rtd_data[#Headers]),1),"")</f>
        <v>IR DEC29</v>
      </c>
      <c r="B2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3" t="str">
        <f ca="1">IF(rtd_data[[#This Row],[Product]]="","",IF(LEN(TRIM(rtd_data[[#This Row],[Product]]))-LEN(SUBSTITUTE(TRIM(rtd_data[[#This Row],[Product]])," ",""))&gt;=2,"Spread","Future"))</f>
        <v>Future</v>
      </c>
      <c r="D253" t="str">
        <f ca="1">IFERROR(INDEX(exch_map[Exch],MATCH(rtd_data[[#This Row],[Group]],exch_map[Group],0)),"")</f>
        <v>ASX</v>
      </c>
      <c r="E253" s="11" t="str" cm="1">
        <f t="array" aca="1" ref="E253" ca="1">IFERROR(INDEX(_xlfn.ANCHORARRAY(contracts!$A$6),ROW()-ROW(rtd_data[#Headers]),2),"")</f>
        <v>Y</v>
      </c>
      <c r="F253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3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3" t="str">
        <f ca="1">IF(rtd_data[[#This Row],[Exch]]="","",IF(rtd_data[[#This Row],[Exch]]="ICE_L","ICE",rtd_data[[#This Row],[Exch]]))</f>
        <v>ASX</v>
      </c>
      <c r="I253" t="str">
        <f ca="1">IF(rtd_data[[#This Row],[Product]]="","",IFERROR(INDEX(exch_map[TT_Symbol],MATCH(rtd_data[[#This Row],[Group]],exch_map[Group],0))&amp;"",""))</f>
        <v>IR</v>
      </c>
      <c r="J253" t="str">
        <f ca="1">IF(rtd_data[[#This Row],[Type]]="Future",PROPER(RIGHT(rtd_data[[#This Row],[Product]],5)),"")</f>
        <v>Dec29</v>
      </c>
    </row>
    <row r="254" spans="1:10" x14ac:dyDescent="0.25">
      <c r="A254" s="11" t="str" cm="1">
        <f t="array" aca="1" ref="A254" ca="1">IFERROR(INDEX(_xlfn.ANCHORARRAY(contracts!$A$6),ROW()-ROW(rtd_data[#Headers]),1),"")</f>
        <v>IR MAR30</v>
      </c>
      <c r="B2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4" t="str">
        <f ca="1">IF(rtd_data[[#This Row],[Product]]="","",IF(LEN(TRIM(rtd_data[[#This Row],[Product]]))-LEN(SUBSTITUTE(TRIM(rtd_data[[#This Row],[Product]])," ",""))&gt;=2,"Spread","Future"))</f>
        <v>Future</v>
      </c>
      <c r="D254" t="str">
        <f ca="1">IFERROR(INDEX(exch_map[Exch],MATCH(rtd_data[[#This Row],[Group]],exch_map[Group],0)),"")</f>
        <v>ASX</v>
      </c>
      <c r="E254" s="11" t="str" cm="1">
        <f t="array" aca="1" ref="E254" ca="1">IFERROR(INDEX(_xlfn.ANCHORARRAY(contracts!$A$6),ROW()-ROW(rtd_data[#Headers]),2),"")</f>
        <v>Y</v>
      </c>
      <c r="F254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4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4" t="str">
        <f ca="1">IF(rtd_data[[#This Row],[Exch]]="","",IF(rtd_data[[#This Row],[Exch]]="ICE_L","ICE",rtd_data[[#This Row],[Exch]]))</f>
        <v>ASX</v>
      </c>
      <c r="I254" t="str">
        <f ca="1">IF(rtd_data[[#This Row],[Product]]="","",IFERROR(INDEX(exch_map[TT_Symbol],MATCH(rtd_data[[#This Row],[Group]],exch_map[Group],0))&amp;"",""))</f>
        <v>IR</v>
      </c>
      <c r="J254" t="str">
        <f ca="1">IF(rtd_data[[#This Row],[Type]]="Future",PROPER(RIGHT(rtd_data[[#This Row],[Product]],5)),"")</f>
        <v>Mar30</v>
      </c>
    </row>
    <row r="255" spans="1:10" x14ac:dyDescent="0.25">
      <c r="A255" s="11" t="str" cm="1">
        <f t="array" aca="1" ref="A255" ca="1">IFERROR(INDEX(_xlfn.ANCHORARRAY(contracts!$A$6),ROW()-ROW(rtd_data[#Headers]),1),"")</f>
        <v>IR JUN30</v>
      </c>
      <c r="B2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5" t="str">
        <f ca="1">IF(rtd_data[[#This Row],[Product]]="","",IF(LEN(TRIM(rtd_data[[#This Row],[Product]]))-LEN(SUBSTITUTE(TRIM(rtd_data[[#This Row],[Product]])," ",""))&gt;=2,"Spread","Future"))</f>
        <v>Future</v>
      </c>
      <c r="D255" t="str">
        <f ca="1">IFERROR(INDEX(exch_map[Exch],MATCH(rtd_data[[#This Row],[Group]],exch_map[Group],0)),"")</f>
        <v>ASX</v>
      </c>
      <c r="E255" s="11" t="str" cm="1">
        <f t="array" aca="1" ref="E255" ca="1">IFERROR(INDEX(_xlfn.ANCHORARRAY(contracts!$A$6),ROW()-ROW(rtd_data[#Headers]),2),"")</f>
        <v>Y</v>
      </c>
      <c r="F255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5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5" t="str">
        <f ca="1">IF(rtd_data[[#This Row],[Exch]]="","",IF(rtd_data[[#This Row],[Exch]]="ICE_L","ICE",rtd_data[[#This Row],[Exch]]))</f>
        <v>ASX</v>
      </c>
      <c r="I255" t="str">
        <f ca="1">IF(rtd_data[[#This Row],[Product]]="","",IFERROR(INDEX(exch_map[TT_Symbol],MATCH(rtd_data[[#This Row],[Group]],exch_map[Group],0))&amp;"",""))</f>
        <v>IR</v>
      </c>
      <c r="J255" t="str">
        <f ca="1">IF(rtd_data[[#This Row],[Type]]="Future",PROPER(RIGHT(rtd_data[[#This Row],[Product]],5)),"")</f>
        <v>Jun30</v>
      </c>
    </row>
    <row r="256" spans="1:10" x14ac:dyDescent="0.25">
      <c r="A256" s="11" t="str" cm="1">
        <f t="array" aca="1" ref="A256" ca="1">IFERROR(INDEX(_xlfn.ANCHORARRAY(contracts!$A$6),ROW()-ROW(rtd_data[#Headers]),1),"")</f>
        <v>IR SEP30</v>
      </c>
      <c r="B2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6" t="str">
        <f ca="1">IF(rtd_data[[#This Row],[Product]]="","",IF(LEN(TRIM(rtd_data[[#This Row],[Product]]))-LEN(SUBSTITUTE(TRIM(rtd_data[[#This Row],[Product]])," ",""))&gt;=2,"Spread","Future"))</f>
        <v>Future</v>
      </c>
      <c r="D256" t="str">
        <f ca="1">IFERROR(INDEX(exch_map[Exch],MATCH(rtd_data[[#This Row],[Group]],exch_map[Group],0)),"")</f>
        <v>ASX</v>
      </c>
      <c r="E256" s="11" t="str" cm="1">
        <f t="array" aca="1" ref="E256" ca="1">IFERROR(INDEX(_xlfn.ANCHORARRAY(contracts!$A$6),ROW()-ROW(rtd_data[#Headers]),2),"")</f>
        <v>Y</v>
      </c>
      <c r="F256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6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6" t="str">
        <f ca="1">IF(rtd_data[[#This Row],[Exch]]="","",IF(rtd_data[[#This Row],[Exch]]="ICE_L","ICE",rtd_data[[#This Row],[Exch]]))</f>
        <v>ASX</v>
      </c>
      <c r="I256" t="str">
        <f ca="1">IF(rtd_data[[#This Row],[Product]]="","",IFERROR(INDEX(exch_map[TT_Symbol],MATCH(rtd_data[[#This Row],[Group]],exch_map[Group],0))&amp;"",""))</f>
        <v>IR</v>
      </c>
      <c r="J256" t="str">
        <f ca="1">IF(rtd_data[[#This Row],[Type]]="Future",PROPER(RIGHT(rtd_data[[#This Row],[Product]],5)),"")</f>
        <v>Sep30</v>
      </c>
    </row>
    <row r="257" spans="1:10" x14ac:dyDescent="0.25">
      <c r="A257" s="11" t="str" cm="1">
        <f t="array" aca="1" ref="A257" ca="1">IFERROR(INDEX(_xlfn.ANCHORARRAY(contracts!$A$6),ROW()-ROW(rtd_data[#Headers]),1),"")</f>
        <v>VT DEC26</v>
      </c>
      <c r="B2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VT</v>
      </c>
      <c r="C257" t="str">
        <f ca="1">IF(rtd_data[[#This Row],[Product]]="","",IF(LEN(TRIM(rtd_data[[#This Row],[Product]]))-LEN(SUBSTITUTE(TRIM(rtd_data[[#This Row],[Product]])," ",""))&gt;=2,"Spread","Future"))</f>
        <v>Future</v>
      </c>
      <c r="D257" t="str">
        <f ca="1">IFERROR(INDEX(exch_map[Exch],MATCH(rtd_data[[#This Row],[Group]],exch_map[Group],0)),"")</f>
        <v>ASX</v>
      </c>
      <c r="E257" s="11" t="str" cm="1">
        <f t="array" aca="1" ref="E257" ca="1">IFERROR(INDEX(_xlfn.ANCHORARRAY(contracts!$A$6),ROW()-ROW(rtd_data[#Headers]),2),"")</f>
        <v>N</v>
      </c>
      <c r="F2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7" t="str">
        <f ca="1">IF(rtd_data[[#This Row],[Exch]]="","",IF(rtd_data[[#This Row],[Exch]]="ICE_L","ICE",rtd_data[[#This Row],[Exch]]))</f>
        <v>ASX</v>
      </c>
      <c r="I257" t="str">
        <f ca="1">IF(rtd_data[[#This Row],[Product]]="","",IFERROR(INDEX(exch_map[TT_Symbol],MATCH(rtd_data[[#This Row],[Group]],exch_map[Group],0))&amp;"",""))</f>
        <v>VT</v>
      </c>
      <c r="J257" t="str">
        <f ca="1">IF(rtd_data[[#This Row],[Type]]="Future",PROPER(RIGHT(rtd_data[[#This Row],[Product]],5)),"")</f>
        <v>Dec26</v>
      </c>
    </row>
    <row r="258" spans="1:10" x14ac:dyDescent="0.25">
      <c r="A258" s="11" t="str" cm="1">
        <f t="array" aca="1" ref="A258" ca="1">IFERROR(INDEX(_xlfn.ANCHORARRAY(contracts!$A$6),ROW()-ROW(rtd_data[#Headers]),1),"")</f>
        <v>VT MAR27</v>
      </c>
      <c r="B2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VT</v>
      </c>
      <c r="C258" t="str">
        <f ca="1">IF(rtd_data[[#This Row],[Product]]="","",IF(LEN(TRIM(rtd_data[[#This Row],[Product]]))-LEN(SUBSTITUTE(TRIM(rtd_data[[#This Row],[Product]])," ",""))&gt;=2,"Spread","Future"))</f>
        <v>Future</v>
      </c>
      <c r="D258" t="str">
        <f ca="1">IFERROR(INDEX(exch_map[Exch],MATCH(rtd_data[[#This Row],[Group]],exch_map[Group],0)),"")</f>
        <v>ASX</v>
      </c>
      <c r="E258" s="11" t="str" cm="1">
        <f t="array" aca="1" ref="E258" ca="1">IFERROR(INDEX(_xlfn.ANCHORARRAY(contracts!$A$6),ROW()-ROW(rtd_data[#Headers]),2),"")</f>
        <v>N</v>
      </c>
      <c r="F2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8" t="str">
        <f ca="1">IF(rtd_data[[#This Row],[Exch]]="","",IF(rtd_data[[#This Row],[Exch]]="ICE_L","ICE",rtd_data[[#This Row],[Exch]]))</f>
        <v>ASX</v>
      </c>
      <c r="I258" t="str">
        <f ca="1">IF(rtd_data[[#This Row],[Product]]="","",IFERROR(INDEX(exch_map[TT_Symbol],MATCH(rtd_data[[#This Row],[Group]],exch_map[Group],0))&amp;"",""))</f>
        <v>VT</v>
      </c>
      <c r="J258" t="str">
        <f ca="1">IF(rtd_data[[#This Row],[Type]]="Future",PROPER(RIGHT(rtd_data[[#This Row],[Product]],5)),"")</f>
        <v>Mar27</v>
      </c>
    </row>
    <row r="259" spans="1:10" x14ac:dyDescent="0.25">
      <c r="A259" s="11" t="str" cm="1">
        <f t="array" aca="1" ref="A259" ca="1">IFERROR(INDEX(_xlfn.ANCHORARRAY(contracts!$A$6),ROW()-ROW(rtd_data[#Headers]),1),"")</f>
        <v>XT DEC26</v>
      </c>
      <c r="B2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XT</v>
      </c>
      <c r="C259" t="str">
        <f ca="1">IF(rtd_data[[#This Row],[Product]]="","",IF(LEN(TRIM(rtd_data[[#This Row],[Product]]))-LEN(SUBSTITUTE(TRIM(rtd_data[[#This Row],[Product]])," ",""))&gt;=2,"Spread","Future"))</f>
        <v>Future</v>
      </c>
      <c r="D259" t="str">
        <f ca="1">IFERROR(INDEX(exch_map[Exch],MATCH(rtd_data[[#This Row],[Group]],exch_map[Group],0)),"")</f>
        <v>ASX</v>
      </c>
      <c r="E259" s="11" t="str" cm="1">
        <f t="array" aca="1" ref="E259" ca="1">IFERROR(INDEX(_xlfn.ANCHORARRAY(contracts!$A$6),ROW()-ROW(rtd_data[#Headers]),2),"")</f>
        <v>Y</v>
      </c>
      <c r="F259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59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59" t="str">
        <f ca="1">IF(rtd_data[[#This Row],[Exch]]="","",IF(rtd_data[[#This Row],[Exch]]="ICE_L","ICE",rtd_data[[#This Row],[Exch]]))</f>
        <v>ASX</v>
      </c>
      <c r="I259" t="str">
        <f ca="1">IF(rtd_data[[#This Row],[Product]]="","",IFERROR(INDEX(exch_map[TT_Symbol],MATCH(rtd_data[[#This Row],[Group]],exch_map[Group],0))&amp;"",""))</f>
        <v>XT</v>
      </c>
      <c r="J259" t="str">
        <f ca="1">IF(rtd_data[[#This Row],[Type]]="Future",PROPER(RIGHT(rtd_data[[#This Row],[Product]],5)),"")</f>
        <v>Dec26</v>
      </c>
    </row>
    <row r="260" spans="1:10" x14ac:dyDescent="0.25">
      <c r="A260" s="11" t="str" cm="1">
        <f t="array" aca="1" ref="A260" ca="1">IFERROR(INDEX(_xlfn.ANCHORARRAY(contracts!$A$6),ROW()-ROW(rtd_data[#Headers]),1),"")</f>
        <v>XT MAR27</v>
      </c>
      <c r="B2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XT</v>
      </c>
      <c r="C260" t="str">
        <f ca="1">IF(rtd_data[[#This Row],[Product]]="","",IF(LEN(TRIM(rtd_data[[#This Row],[Product]]))-LEN(SUBSTITUTE(TRIM(rtd_data[[#This Row],[Product]])," ",""))&gt;=2,"Spread","Future"))</f>
        <v>Future</v>
      </c>
      <c r="D260" t="str">
        <f ca="1">IFERROR(INDEX(exch_map[Exch],MATCH(rtd_data[[#This Row],[Group]],exch_map[Group],0)),"")</f>
        <v>ASX</v>
      </c>
      <c r="E260" s="11" t="str" cm="1">
        <f t="array" aca="1" ref="E260" ca="1">IFERROR(INDEX(_xlfn.ANCHORARRAY(contracts!$A$6),ROW()-ROW(rtd_data[#Headers]),2),"")</f>
        <v>Y</v>
      </c>
      <c r="F260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60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60" t="str">
        <f ca="1">IF(rtd_data[[#This Row],[Exch]]="","",IF(rtd_data[[#This Row],[Exch]]="ICE_L","ICE",rtd_data[[#This Row],[Exch]]))</f>
        <v>ASX</v>
      </c>
      <c r="I260" t="str">
        <f ca="1">IF(rtd_data[[#This Row],[Product]]="","",IFERROR(INDEX(exch_map[TT_Symbol],MATCH(rtd_data[[#This Row],[Group]],exch_map[Group],0))&amp;"",""))</f>
        <v>XT</v>
      </c>
      <c r="J260" t="str">
        <f ca="1">IF(rtd_data[[#This Row],[Type]]="Future",PROPER(RIGHT(rtd_data[[#This Row],[Product]],5)),"")</f>
        <v>Mar27</v>
      </c>
    </row>
    <row r="261" spans="1:10" x14ac:dyDescent="0.25">
      <c r="A261" s="11" t="str" cm="1">
        <f t="array" aca="1" ref="A261" ca="1">IFERROR(INDEX(_xlfn.ANCHORARRAY(contracts!$A$6),ROW()-ROW(rtd_data[#Headers]),1),"")</f>
        <v>YT DEC26</v>
      </c>
      <c r="B2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YT</v>
      </c>
      <c r="C261" t="str">
        <f ca="1">IF(rtd_data[[#This Row],[Product]]="","",IF(LEN(TRIM(rtd_data[[#This Row],[Product]]))-LEN(SUBSTITUTE(TRIM(rtd_data[[#This Row],[Product]])," ",""))&gt;=2,"Spread","Future"))</f>
        <v>Future</v>
      </c>
      <c r="D261" t="str">
        <f ca="1">IFERROR(INDEX(exch_map[Exch],MATCH(rtd_data[[#This Row],[Group]],exch_map[Group],0)),"")</f>
        <v>ASX</v>
      </c>
      <c r="E261" s="11" t="str" cm="1">
        <f t="array" aca="1" ref="E261" ca="1">IFERROR(INDEX(_xlfn.ANCHORARRAY(contracts!$A$6),ROW()-ROW(rtd_data[#Headers]),2),"")</f>
        <v>Y</v>
      </c>
      <c r="F261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61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61" t="str">
        <f ca="1">IF(rtd_data[[#This Row],[Exch]]="","",IF(rtd_data[[#This Row],[Exch]]="ICE_L","ICE",rtd_data[[#This Row],[Exch]]))</f>
        <v>ASX</v>
      </c>
      <c r="I261" t="str">
        <f ca="1">IF(rtd_data[[#This Row],[Product]]="","",IFERROR(INDEX(exch_map[TT_Symbol],MATCH(rtd_data[[#This Row],[Group]],exch_map[Group],0))&amp;"",""))</f>
        <v>YT</v>
      </c>
      <c r="J261" t="str">
        <f ca="1">IF(rtd_data[[#This Row],[Type]]="Future",PROPER(RIGHT(rtd_data[[#This Row],[Product]],5)),"")</f>
        <v>Dec26</v>
      </c>
    </row>
    <row r="262" spans="1:10" x14ac:dyDescent="0.25">
      <c r="A262" s="11" t="str" cm="1">
        <f t="array" aca="1" ref="A262" ca="1">IFERROR(INDEX(_xlfn.ANCHORARRAY(contracts!$A$6),ROW()-ROW(rtd_data[#Headers]),1),"")</f>
        <v>YT MAR27</v>
      </c>
      <c r="B2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YT</v>
      </c>
      <c r="C262" t="str">
        <f ca="1">IF(rtd_data[[#This Row],[Product]]="","",IF(LEN(TRIM(rtd_data[[#This Row],[Product]]))-LEN(SUBSTITUTE(TRIM(rtd_data[[#This Row],[Product]])," ",""))&gt;=2,"Spread","Future"))</f>
        <v>Future</v>
      </c>
      <c r="D262" t="str">
        <f ca="1">IFERROR(INDEX(exch_map[Exch],MATCH(rtd_data[[#This Row],[Group]],exch_map[Group],0)),"")</f>
        <v>ASX</v>
      </c>
      <c r="E262" s="11" t="str" cm="1">
        <f t="array" aca="1" ref="E262" ca="1">IFERROR(INDEX(_xlfn.ANCHORARRAY(contracts!$A$6),ROW()-ROW(rtd_data[#Headers]),2),"")</f>
        <v>Y</v>
      </c>
      <c r="F262" t="e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#N/A</v>
      </c>
      <c r="G262" t="e">
        <f ca="1">IF(rtd_data[[#This Row],[Inst]]="","",IFERROR(_xlfn.NUMBERVALUE(IF(TA_RTDServer="TT",RTD(stellar_rtd,,rtd_data[[#This Row],[Inst]],"NetPos"),RTD(stellar_rtd,,"POSITION",rtd_data[[#This Row],[Inst]],"net_position"))),""))</f>
        <v>#N/A</v>
      </c>
      <c r="H262" t="str">
        <f ca="1">IF(rtd_data[[#This Row],[Exch]]="","",IF(rtd_data[[#This Row],[Exch]]="ICE_L","ICE",rtd_data[[#This Row],[Exch]]))</f>
        <v>ASX</v>
      </c>
      <c r="I262" t="str">
        <f ca="1">IF(rtd_data[[#This Row],[Product]]="","",IFERROR(INDEX(exch_map[TT_Symbol],MATCH(rtd_data[[#This Row],[Group]],exch_map[Group],0))&amp;"",""))</f>
        <v>YT</v>
      </c>
      <c r="J262" t="str">
        <f ca="1">IF(rtd_data[[#This Row],[Type]]="Future",PROPER(RIGHT(rtd_data[[#This Row],[Product]],5)),"")</f>
        <v>Mar27</v>
      </c>
    </row>
    <row r="263" spans="1:10" x14ac:dyDescent="0.25">
      <c r="A263" s="11" t="str" cm="1">
        <f t="array" aca="1" ref="A263" ca="1">IFERROR(INDEX(_xlfn.ANCHORARRAY(contracts!$A$6),ROW()-ROW(rtd_data[#Headers]),1),"")</f>
        <v/>
      </c>
      <c r="B2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3" t="str">
        <f ca="1">IF(rtd_data[[#This Row],[Product]]="","",IF(LEN(TRIM(rtd_data[[#This Row],[Product]]))-LEN(SUBSTITUTE(TRIM(rtd_data[[#This Row],[Product]])," ",""))&gt;=2,"Spread","Future"))</f>
        <v/>
      </c>
      <c r="D263" t="str">
        <f ca="1">IFERROR(INDEX(exch_map[Exch],MATCH(rtd_data[[#This Row],[Group]],exch_map[Group],0)),"")</f>
        <v/>
      </c>
      <c r="E263" s="11" t="str" cm="1">
        <f t="array" aca="1" ref="E263" ca="1">IFERROR(INDEX(_xlfn.ANCHORARRAY(contracts!$A$6),ROW()-ROW(rtd_data[#Headers]),2),"")</f>
        <v/>
      </c>
      <c r="F2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3" t="str">
        <f ca="1">IF(rtd_data[[#This Row],[Exch]]="","",IF(rtd_data[[#This Row],[Exch]]="ICE_L","ICE",rtd_data[[#This Row],[Exch]]))</f>
        <v/>
      </c>
      <c r="I263" t="str">
        <f ca="1">IF(rtd_data[[#This Row],[Product]]="","",IFERROR(INDEX(exch_map[TT_Symbol],MATCH(rtd_data[[#This Row],[Group]],exch_map[Group],0))&amp;"",""))</f>
        <v/>
      </c>
      <c r="J263" t="str">
        <f ca="1">IF(rtd_data[[#This Row],[Type]]="Future",PROPER(RIGHT(rtd_data[[#This Row],[Product]],5)),"")</f>
        <v/>
      </c>
    </row>
    <row r="264" spans="1:10" x14ac:dyDescent="0.25">
      <c r="A264" s="11" t="str" cm="1">
        <f t="array" aca="1" ref="A264" ca="1">IFERROR(INDEX(_xlfn.ANCHORARRAY(contracts!$A$6),ROW()-ROW(rtd_data[#Headers]),1),"")</f>
        <v/>
      </c>
      <c r="B2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4" t="str">
        <f ca="1">IF(rtd_data[[#This Row],[Product]]="","",IF(LEN(TRIM(rtd_data[[#This Row],[Product]]))-LEN(SUBSTITUTE(TRIM(rtd_data[[#This Row],[Product]])," ",""))&gt;=2,"Spread","Future"))</f>
        <v/>
      </c>
      <c r="D264" t="str">
        <f ca="1">IFERROR(INDEX(exch_map[Exch],MATCH(rtd_data[[#This Row],[Group]],exch_map[Group],0)),"")</f>
        <v/>
      </c>
      <c r="E264" s="11" t="str" cm="1">
        <f t="array" aca="1" ref="E264" ca="1">IFERROR(INDEX(_xlfn.ANCHORARRAY(contracts!$A$6),ROW()-ROW(rtd_data[#Headers]),2),"")</f>
        <v/>
      </c>
      <c r="F2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4" t="str">
        <f ca="1">IF(rtd_data[[#This Row],[Exch]]="","",IF(rtd_data[[#This Row],[Exch]]="ICE_L","ICE",rtd_data[[#This Row],[Exch]]))</f>
        <v/>
      </c>
      <c r="I264" t="str">
        <f ca="1">IF(rtd_data[[#This Row],[Product]]="","",IFERROR(INDEX(exch_map[TT_Symbol],MATCH(rtd_data[[#This Row],[Group]],exch_map[Group],0))&amp;"",""))</f>
        <v/>
      </c>
      <c r="J264" t="str">
        <f ca="1">IF(rtd_data[[#This Row],[Type]]="Future",PROPER(RIGHT(rtd_data[[#This Row],[Product]],5)),"")</f>
        <v/>
      </c>
    </row>
    <row r="265" spans="1:10" x14ac:dyDescent="0.25">
      <c r="A265" s="11" t="str" cm="1">
        <f t="array" aca="1" ref="A265" ca="1">IFERROR(INDEX(_xlfn.ANCHORARRAY(contracts!$A$6),ROW()-ROW(rtd_data[#Headers]),1),"")</f>
        <v/>
      </c>
      <c r="B2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5" t="str">
        <f ca="1">IF(rtd_data[[#This Row],[Product]]="","",IF(LEN(TRIM(rtd_data[[#This Row],[Product]]))-LEN(SUBSTITUTE(TRIM(rtd_data[[#This Row],[Product]])," ",""))&gt;=2,"Spread","Future"))</f>
        <v/>
      </c>
      <c r="D265" t="str">
        <f ca="1">IFERROR(INDEX(exch_map[Exch],MATCH(rtd_data[[#This Row],[Group]],exch_map[Group],0)),"")</f>
        <v/>
      </c>
      <c r="E265" s="11" t="str" cm="1">
        <f t="array" aca="1" ref="E265" ca="1">IFERROR(INDEX(_xlfn.ANCHORARRAY(contracts!$A$6),ROW()-ROW(rtd_data[#Headers]),2),"")</f>
        <v/>
      </c>
      <c r="F2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5" t="str">
        <f ca="1">IF(rtd_data[[#This Row],[Exch]]="","",IF(rtd_data[[#This Row],[Exch]]="ICE_L","ICE",rtd_data[[#This Row],[Exch]]))</f>
        <v/>
      </c>
      <c r="I265" t="str">
        <f ca="1">IF(rtd_data[[#This Row],[Product]]="","",IFERROR(INDEX(exch_map[TT_Symbol],MATCH(rtd_data[[#This Row],[Group]],exch_map[Group],0))&amp;"",""))</f>
        <v/>
      </c>
      <c r="J265" t="str">
        <f ca="1">IF(rtd_data[[#This Row],[Type]]="Future",PROPER(RIGHT(rtd_data[[#This Row],[Product]],5)),"")</f>
        <v/>
      </c>
    </row>
    <row r="266" spans="1:10" x14ac:dyDescent="0.25">
      <c r="A266" s="11" t="str" cm="1">
        <f t="array" aca="1" ref="A266" ca="1">IFERROR(INDEX(_xlfn.ANCHORARRAY(contracts!$A$6),ROW()-ROW(rtd_data[#Headers]),1),"")</f>
        <v/>
      </c>
      <c r="B2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6" t="str">
        <f ca="1">IF(rtd_data[[#This Row],[Product]]="","",IF(LEN(TRIM(rtd_data[[#This Row],[Product]]))-LEN(SUBSTITUTE(TRIM(rtd_data[[#This Row],[Product]])," ",""))&gt;=2,"Spread","Future"))</f>
        <v/>
      </c>
      <c r="D266" t="str">
        <f ca="1">IFERROR(INDEX(exch_map[Exch],MATCH(rtd_data[[#This Row],[Group]],exch_map[Group],0)),"")</f>
        <v/>
      </c>
      <c r="E266" s="11" t="str" cm="1">
        <f t="array" aca="1" ref="E266" ca="1">IFERROR(INDEX(_xlfn.ANCHORARRAY(contracts!$A$6),ROW()-ROW(rtd_data[#Headers]),2),"")</f>
        <v/>
      </c>
      <c r="F2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6" t="str">
        <f ca="1">IF(rtd_data[[#This Row],[Exch]]="","",IF(rtd_data[[#This Row],[Exch]]="ICE_L","ICE",rtd_data[[#This Row],[Exch]]))</f>
        <v/>
      </c>
      <c r="I266" t="str">
        <f ca="1">IF(rtd_data[[#This Row],[Product]]="","",IFERROR(INDEX(exch_map[TT_Symbol],MATCH(rtd_data[[#This Row],[Group]],exch_map[Group],0))&amp;"",""))</f>
        <v/>
      </c>
      <c r="J266" t="str">
        <f ca="1">IF(rtd_data[[#This Row],[Type]]="Future",PROPER(RIGHT(rtd_data[[#This Row],[Product]],5)),"")</f>
        <v/>
      </c>
    </row>
    <row r="267" spans="1:10" x14ac:dyDescent="0.25">
      <c r="A267" s="11" t="str" cm="1">
        <f t="array" aca="1" ref="A267" ca="1">IFERROR(INDEX(_xlfn.ANCHORARRAY(contracts!$A$6),ROW()-ROW(rtd_data[#Headers]),1),"")</f>
        <v/>
      </c>
      <c r="B2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7" t="str">
        <f ca="1">IF(rtd_data[[#This Row],[Product]]="","",IF(LEN(TRIM(rtd_data[[#This Row],[Product]]))-LEN(SUBSTITUTE(TRIM(rtd_data[[#This Row],[Product]])," ",""))&gt;=2,"Spread","Future"))</f>
        <v/>
      </c>
      <c r="D267" t="str">
        <f ca="1">IFERROR(INDEX(exch_map[Exch],MATCH(rtd_data[[#This Row],[Group]],exch_map[Group],0)),"")</f>
        <v/>
      </c>
      <c r="E267" s="11" t="str" cm="1">
        <f t="array" aca="1" ref="E267" ca="1">IFERROR(INDEX(_xlfn.ANCHORARRAY(contracts!$A$6),ROW()-ROW(rtd_data[#Headers]),2),"")</f>
        <v/>
      </c>
      <c r="F2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7" t="str">
        <f ca="1">IF(rtd_data[[#This Row],[Exch]]="","",IF(rtd_data[[#This Row],[Exch]]="ICE_L","ICE",rtd_data[[#This Row],[Exch]]))</f>
        <v/>
      </c>
      <c r="I267" t="str">
        <f ca="1">IF(rtd_data[[#This Row],[Product]]="","",IFERROR(INDEX(exch_map[TT_Symbol],MATCH(rtd_data[[#This Row],[Group]],exch_map[Group],0))&amp;"",""))</f>
        <v/>
      </c>
      <c r="J267" t="str">
        <f ca="1">IF(rtd_data[[#This Row],[Type]]="Future",PROPER(RIGHT(rtd_data[[#This Row],[Product]],5)),"")</f>
        <v/>
      </c>
    </row>
    <row r="268" spans="1:10" x14ac:dyDescent="0.25">
      <c r="A268" s="11" t="str" cm="1">
        <f t="array" aca="1" ref="A268" ca="1">IFERROR(INDEX(_xlfn.ANCHORARRAY(contracts!$A$6),ROW()-ROW(rtd_data[#Headers]),1),"")</f>
        <v/>
      </c>
      <c r="B2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8" t="str">
        <f ca="1">IF(rtd_data[[#This Row],[Product]]="","",IF(LEN(TRIM(rtd_data[[#This Row],[Product]]))-LEN(SUBSTITUTE(TRIM(rtd_data[[#This Row],[Product]])," ",""))&gt;=2,"Spread","Future"))</f>
        <v/>
      </c>
      <c r="D268" t="str">
        <f ca="1">IFERROR(INDEX(exch_map[Exch],MATCH(rtd_data[[#This Row],[Group]],exch_map[Group],0)),"")</f>
        <v/>
      </c>
      <c r="E268" s="11" t="str" cm="1">
        <f t="array" aca="1" ref="E268" ca="1">IFERROR(INDEX(_xlfn.ANCHORARRAY(contracts!$A$6),ROW()-ROW(rtd_data[#Headers]),2),"")</f>
        <v/>
      </c>
      <c r="F2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8" t="str">
        <f ca="1">IF(rtd_data[[#This Row],[Exch]]="","",IF(rtd_data[[#This Row],[Exch]]="ICE_L","ICE",rtd_data[[#This Row],[Exch]]))</f>
        <v/>
      </c>
      <c r="I268" t="str">
        <f ca="1">IF(rtd_data[[#This Row],[Product]]="","",IFERROR(INDEX(exch_map[TT_Symbol],MATCH(rtd_data[[#This Row],[Group]],exch_map[Group],0))&amp;"",""))</f>
        <v/>
      </c>
      <c r="J268" t="str">
        <f ca="1">IF(rtd_data[[#This Row],[Type]]="Future",PROPER(RIGHT(rtd_data[[#This Row],[Product]],5)),"")</f>
        <v/>
      </c>
    </row>
    <row r="269" spans="1:10" x14ac:dyDescent="0.25">
      <c r="A269" s="11" t="str" cm="1">
        <f t="array" aca="1" ref="A269" ca="1">IFERROR(INDEX(_xlfn.ANCHORARRAY(contracts!$A$6),ROW()-ROW(rtd_data[#Headers]),1),"")</f>
        <v/>
      </c>
      <c r="B2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9" t="str">
        <f ca="1">IF(rtd_data[[#This Row],[Product]]="","",IF(LEN(TRIM(rtd_data[[#This Row],[Product]]))-LEN(SUBSTITUTE(TRIM(rtd_data[[#This Row],[Product]])," ",""))&gt;=2,"Spread","Future"))</f>
        <v/>
      </c>
      <c r="D269" t="str">
        <f ca="1">IFERROR(INDEX(exch_map[Exch],MATCH(rtd_data[[#This Row],[Group]],exch_map[Group],0)),"")</f>
        <v/>
      </c>
      <c r="E269" s="11" t="str" cm="1">
        <f t="array" aca="1" ref="E269" ca="1">IFERROR(INDEX(_xlfn.ANCHORARRAY(contracts!$A$6),ROW()-ROW(rtd_data[#Headers]),2),"")</f>
        <v/>
      </c>
      <c r="F2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9" t="str">
        <f ca="1">IF(rtd_data[[#This Row],[Exch]]="","",IF(rtd_data[[#This Row],[Exch]]="ICE_L","ICE",rtd_data[[#This Row],[Exch]]))</f>
        <v/>
      </c>
      <c r="I269" t="str">
        <f ca="1">IF(rtd_data[[#This Row],[Product]]="","",IFERROR(INDEX(exch_map[TT_Symbol],MATCH(rtd_data[[#This Row],[Group]],exch_map[Group],0))&amp;"",""))</f>
        <v/>
      </c>
      <c r="J269" t="str">
        <f ca="1">IF(rtd_data[[#This Row],[Type]]="Future",PROPER(RIGHT(rtd_data[[#This Row],[Product]],5)),"")</f>
        <v/>
      </c>
    </row>
    <row r="270" spans="1:10" x14ac:dyDescent="0.25">
      <c r="A270" s="11" t="str" cm="1">
        <f t="array" aca="1" ref="A270" ca="1">IFERROR(INDEX(_xlfn.ANCHORARRAY(contracts!$A$6),ROW()-ROW(rtd_data[#Headers]),1),"")</f>
        <v/>
      </c>
      <c r="B2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0" t="str">
        <f ca="1">IF(rtd_data[[#This Row],[Product]]="","",IF(LEN(TRIM(rtd_data[[#This Row],[Product]]))-LEN(SUBSTITUTE(TRIM(rtd_data[[#This Row],[Product]])," ",""))&gt;=2,"Spread","Future"))</f>
        <v/>
      </c>
      <c r="D270" t="str">
        <f ca="1">IFERROR(INDEX(exch_map[Exch],MATCH(rtd_data[[#This Row],[Group]],exch_map[Group],0)),"")</f>
        <v/>
      </c>
      <c r="E270" s="11" t="str" cm="1">
        <f t="array" aca="1" ref="E270" ca="1">IFERROR(INDEX(_xlfn.ANCHORARRAY(contracts!$A$6),ROW()-ROW(rtd_data[#Headers]),2),"")</f>
        <v/>
      </c>
      <c r="F2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0" t="str">
        <f ca="1">IF(rtd_data[[#This Row],[Exch]]="","",IF(rtd_data[[#This Row],[Exch]]="ICE_L","ICE",rtd_data[[#This Row],[Exch]]))</f>
        <v/>
      </c>
      <c r="I270" t="str">
        <f ca="1">IF(rtd_data[[#This Row],[Product]]="","",IFERROR(INDEX(exch_map[TT_Symbol],MATCH(rtd_data[[#This Row],[Group]],exch_map[Group],0))&amp;"",""))</f>
        <v/>
      </c>
      <c r="J270" t="str">
        <f ca="1">IF(rtd_data[[#This Row],[Type]]="Future",PROPER(RIGHT(rtd_data[[#This Row],[Product]],5)),"")</f>
        <v/>
      </c>
    </row>
    <row r="271" spans="1:10" x14ac:dyDescent="0.25">
      <c r="A271" s="11" t="str" cm="1">
        <f t="array" aca="1" ref="A271" ca="1">IFERROR(INDEX(_xlfn.ANCHORARRAY(contracts!$A$6),ROW()-ROW(rtd_data[#Headers]),1),"")</f>
        <v/>
      </c>
      <c r="B2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1" t="str">
        <f ca="1">IF(rtd_data[[#This Row],[Product]]="","",IF(LEN(TRIM(rtd_data[[#This Row],[Product]]))-LEN(SUBSTITUTE(TRIM(rtd_data[[#This Row],[Product]])," ",""))&gt;=2,"Spread","Future"))</f>
        <v/>
      </c>
      <c r="D271" t="str">
        <f ca="1">IFERROR(INDEX(exch_map[Exch],MATCH(rtd_data[[#This Row],[Group]],exch_map[Group],0)),"")</f>
        <v/>
      </c>
      <c r="E271" s="11" t="str" cm="1">
        <f t="array" aca="1" ref="E271" ca="1">IFERROR(INDEX(_xlfn.ANCHORARRAY(contracts!$A$6),ROW()-ROW(rtd_data[#Headers]),2),"")</f>
        <v/>
      </c>
      <c r="F2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1" t="str">
        <f ca="1">IF(rtd_data[[#This Row],[Exch]]="","",IF(rtd_data[[#This Row],[Exch]]="ICE_L","ICE",rtd_data[[#This Row],[Exch]]))</f>
        <v/>
      </c>
      <c r="I271" t="str">
        <f ca="1">IF(rtd_data[[#This Row],[Product]]="","",IFERROR(INDEX(exch_map[TT_Symbol],MATCH(rtd_data[[#This Row],[Group]],exch_map[Group],0))&amp;"",""))</f>
        <v/>
      </c>
      <c r="J271" t="str">
        <f ca="1">IF(rtd_data[[#This Row],[Type]]="Future",PROPER(RIGHT(rtd_data[[#This Row],[Product]],5)),"")</f>
        <v/>
      </c>
    </row>
    <row r="272" spans="1:10" x14ac:dyDescent="0.25">
      <c r="A272" s="11" t="str" cm="1">
        <f t="array" aca="1" ref="A272" ca="1">IFERROR(INDEX(_xlfn.ANCHORARRAY(contracts!$A$6),ROW()-ROW(rtd_data[#Headers]),1),"")</f>
        <v/>
      </c>
      <c r="B2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2" t="str">
        <f ca="1">IF(rtd_data[[#This Row],[Product]]="","",IF(LEN(TRIM(rtd_data[[#This Row],[Product]]))-LEN(SUBSTITUTE(TRIM(rtd_data[[#This Row],[Product]])," ",""))&gt;=2,"Spread","Future"))</f>
        <v/>
      </c>
      <c r="D272" t="str">
        <f ca="1">IFERROR(INDEX(exch_map[Exch],MATCH(rtd_data[[#This Row],[Group]],exch_map[Group],0)),"")</f>
        <v/>
      </c>
      <c r="E272" s="11" t="str" cm="1">
        <f t="array" aca="1" ref="E272" ca="1">IFERROR(INDEX(_xlfn.ANCHORARRAY(contracts!$A$6),ROW()-ROW(rtd_data[#Headers]),2),"")</f>
        <v/>
      </c>
      <c r="F2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2" t="str">
        <f ca="1">IF(rtd_data[[#This Row],[Exch]]="","",IF(rtd_data[[#This Row],[Exch]]="ICE_L","ICE",rtd_data[[#This Row],[Exch]]))</f>
        <v/>
      </c>
      <c r="I272" t="str">
        <f ca="1">IF(rtd_data[[#This Row],[Product]]="","",IFERROR(INDEX(exch_map[TT_Symbol],MATCH(rtd_data[[#This Row],[Group]],exch_map[Group],0))&amp;"",""))</f>
        <v/>
      </c>
      <c r="J272" t="str">
        <f ca="1">IF(rtd_data[[#This Row],[Type]]="Future",PROPER(RIGHT(rtd_data[[#This Row],[Product]],5)),"")</f>
        <v/>
      </c>
    </row>
    <row r="273" spans="1:10" x14ac:dyDescent="0.25">
      <c r="A273" s="11" t="str" cm="1">
        <f t="array" aca="1" ref="A273" ca="1">IFERROR(INDEX(_xlfn.ANCHORARRAY(contracts!$A$6),ROW()-ROW(rtd_data[#Headers]),1),"")</f>
        <v/>
      </c>
      <c r="B2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3" t="str">
        <f ca="1">IF(rtd_data[[#This Row],[Product]]="","",IF(LEN(TRIM(rtd_data[[#This Row],[Product]]))-LEN(SUBSTITUTE(TRIM(rtd_data[[#This Row],[Product]])," ",""))&gt;=2,"Spread","Future"))</f>
        <v/>
      </c>
      <c r="D273" t="str">
        <f ca="1">IFERROR(INDEX(exch_map[Exch],MATCH(rtd_data[[#This Row],[Group]],exch_map[Group],0)),"")</f>
        <v/>
      </c>
      <c r="E273" s="11" t="str" cm="1">
        <f t="array" aca="1" ref="E273" ca="1">IFERROR(INDEX(_xlfn.ANCHORARRAY(contracts!$A$6),ROW()-ROW(rtd_data[#Headers]),2),"")</f>
        <v/>
      </c>
      <c r="F2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3" t="str">
        <f ca="1">IF(rtd_data[[#This Row],[Exch]]="","",IF(rtd_data[[#This Row],[Exch]]="ICE_L","ICE",rtd_data[[#This Row],[Exch]]))</f>
        <v/>
      </c>
      <c r="I273" t="str">
        <f ca="1">IF(rtd_data[[#This Row],[Product]]="","",IFERROR(INDEX(exch_map[TT_Symbol],MATCH(rtd_data[[#This Row],[Group]],exch_map[Group],0))&amp;"",""))</f>
        <v/>
      </c>
      <c r="J273" t="str">
        <f ca="1">IF(rtd_data[[#This Row],[Type]]="Future",PROPER(RIGHT(rtd_data[[#This Row],[Product]],5)),"")</f>
        <v/>
      </c>
    </row>
    <row r="274" spans="1:10" x14ac:dyDescent="0.25">
      <c r="A274" s="11" t="str" cm="1">
        <f t="array" aca="1" ref="A274" ca="1">IFERROR(INDEX(_xlfn.ANCHORARRAY(contracts!$A$6),ROW()-ROW(rtd_data[#Headers]),1),"")</f>
        <v/>
      </c>
      <c r="B2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4" t="str">
        <f ca="1">IF(rtd_data[[#This Row],[Product]]="","",IF(LEN(TRIM(rtd_data[[#This Row],[Product]]))-LEN(SUBSTITUTE(TRIM(rtd_data[[#This Row],[Product]])," ",""))&gt;=2,"Spread","Future"))</f>
        <v/>
      </c>
      <c r="D274" t="str">
        <f ca="1">IFERROR(INDEX(exch_map[Exch],MATCH(rtd_data[[#This Row],[Group]],exch_map[Group],0)),"")</f>
        <v/>
      </c>
      <c r="E274" s="11" t="str" cm="1">
        <f t="array" aca="1" ref="E274" ca="1">IFERROR(INDEX(_xlfn.ANCHORARRAY(contracts!$A$6),ROW()-ROW(rtd_data[#Headers]),2),"")</f>
        <v/>
      </c>
      <c r="F2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4" t="str">
        <f ca="1">IF(rtd_data[[#This Row],[Exch]]="","",IF(rtd_data[[#This Row],[Exch]]="ICE_L","ICE",rtd_data[[#This Row],[Exch]]))</f>
        <v/>
      </c>
      <c r="I274" t="str">
        <f ca="1">IF(rtd_data[[#This Row],[Product]]="","",IFERROR(INDEX(exch_map[TT_Symbol],MATCH(rtd_data[[#This Row],[Group]],exch_map[Group],0))&amp;"",""))</f>
        <v/>
      </c>
      <c r="J274" t="str">
        <f ca="1">IF(rtd_data[[#This Row],[Type]]="Future",PROPER(RIGHT(rtd_data[[#This Row],[Product]],5)),"")</f>
        <v/>
      </c>
    </row>
    <row r="275" spans="1:10" x14ac:dyDescent="0.25">
      <c r="A275" s="11" t="str" cm="1">
        <f t="array" aca="1" ref="A275" ca="1">IFERROR(INDEX(_xlfn.ANCHORARRAY(contracts!$A$6),ROW()-ROW(rtd_data[#Headers]),1),"")</f>
        <v/>
      </c>
      <c r="B2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5" t="str">
        <f ca="1">IF(rtd_data[[#This Row],[Product]]="","",IF(LEN(TRIM(rtd_data[[#This Row],[Product]]))-LEN(SUBSTITUTE(TRIM(rtd_data[[#This Row],[Product]])," ",""))&gt;=2,"Spread","Future"))</f>
        <v/>
      </c>
      <c r="D275" t="str">
        <f ca="1">IFERROR(INDEX(exch_map[Exch],MATCH(rtd_data[[#This Row],[Group]],exch_map[Group],0)),"")</f>
        <v/>
      </c>
      <c r="E275" s="11" t="str" cm="1">
        <f t="array" aca="1" ref="E275" ca="1">IFERROR(INDEX(_xlfn.ANCHORARRAY(contracts!$A$6),ROW()-ROW(rtd_data[#Headers]),2),"")</f>
        <v/>
      </c>
      <c r="F2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5" t="str">
        <f ca="1">IF(rtd_data[[#This Row],[Exch]]="","",IF(rtd_data[[#This Row],[Exch]]="ICE_L","ICE",rtd_data[[#This Row],[Exch]]))</f>
        <v/>
      </c>
      <c r="I275" t="str">
        <f ca="1">IF(rtd_data[[#This Row],[Product]]="","",IFERROR(INDEX(exch_map[TT_Symbol],MATCH(rtd_data[[#This Row],[Group]],exch_map[Group],0))&amp;"",""))</f>
        <v/>
      </c>
      <c r="J275" t="str">
        <f ca="1">IF(rtd_data[[#This Row],[Type]]="Future",PROPER(RIGHT(rtd_data[[#This Row],[Product]],5)),"")</f>
        <v/>
      </c>
    </row>
    <row r="276" spans="1:10" x14ac:dyDescent="0.25">
      <c r="A276" s="11" t="str" cm="1">
        <f t="array" aca="1" ref="A276" ca="1">IFERROR(INDEX(_xlfn.ANCHORARRAY(contracts!$A$6),ROW()-ROW(rtd_data[#Headers]),1),"")</f>
        <v/>
      </c>
      <c r="B2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6" t="str">
        <f ca="1">IF(rtd_data[[#This Row],[Product]]="","",IF(LEN(TRIM(rtd_data[[#This Row],[Product]]))-LEN(SUBSTITUTE(TRIM(rtd_data[[#This Row],[Product]])," ",""))&gt;=2,"Spread","Future"))</f>
        <v/>
      </c>
      <c r="D276" t="str">
        <f ca="1">IFERROR(INDEX(exch_map[Exch],MATCH(rtd_data[[#This Row],[Group]],exch_map[Group],0)),"")</f>
        <v/>
      </c>
      <c r="E276" s="11" t="str" cm="1">
        <f t="array" aca="1" ref="E276" ca="1">IFERROR(INDEX(_xlfn.ANCHORARRAY(contracts!$A$6),ROW()-ROW(rtd_data[#Headers]),2),"")</f>
        <v/>
      </c>
      <c r="F2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6" t="str">
        <f ca="1">IF(rtd_data[[#This Row],[Exch]]="","",IF(rtd_data[[#This Row],[Exch]]="ICE_L","ICE",rtd_data[[#This Row],[Exch]]))</f>
        <v/>
      </c>
      <c r="I276" t="str">
        <f ca="1">IF(rtd_data[[#This Row],[Product]]="","",IFERROR(INDEX(exch_map[TT_Symbol],MATCH(rtd_data[[#This Row],[Group]],exch_map[Group],0))&amp;"",""))</f>
        <v/>
      </c>
      <c r="J276" t="str">
        <f ca="1">IF(rtd_data[[#This Row],[Type]]="Future",PROPER(RIGHT(rtd_data[[#This Row],[Product]],5)),"")</f>
        <v/>
      </c>
    </row>
    <row r="277" spans="1:10" x14ac:dyDescent="0.25">
      <c r="A277" s="11" t="str" cm="1">
        <f t="array" aca="1" ref="A277" ca="1">IFERROR(INDEX(_xlfn.ANCHORARRAY(contracts!$A$6),ROW()-ROW(rtd_data[#Headers]),1),"")</f>
        <v/>
      </c>
      <c r="B2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7" t="str">
        <f ca="1">IF(rtd_data[[#This Row],[Product]]="","",IF(LEN(TRIM(rtd_data[[#This Row],[Product]]))-LEN(SUBSTITUTE(TRIM(rtd_data[[#This Row],[Product]])," ",""))&gt;=2,"Spread","Future"))</f>
        <v/>
      </c>
      <c r="D277" t="str">
        <f ca="1">IFERROR(INDEX(exch_map[Exch],MATCH(rtd_data[[#This Row],[Group]],exch_map[Group],0)),"")</f>
        <v/>
      </c>
      <c r="E277" s="11" t="str" cm="1">
        <f t="array" aca="1" ref="E277" ca="1">IFERROR(INDEX(_xlfn.ANCHORARRAY(contracts!$A$6),ROW()-ROW(rtd_data[#Headers]),2),"")</f>
        <v/>
      </c>
      <c r="F2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7" t="str">
        <f ca="1">IF(rtd_data[[#This Row],[Exch]]="","",IF(rtd_data[[#This Row],[Exch]]="ICE_L","ICE",rtd_data[[#This Row],[Exch]]))</f>
        <v/>
      </c>
      <c r="I277" t="str">
        <f ca="1">IF(rtd_data[[#This Row],[Product]]="","",IFERROR(INDEX(exch_map[TT_Symbol],MATCH(rtd_data[[#This Row],[Group]],exch_map[Group],0))&amp;"",""))</f>
        <v/>
      </c>
      <c r="J277" t="str">
        <f ca="1">IF(rtd_data[[#This Row],[Type]]="Future",PROPER(RIGHT(rtd_data[[#This Row],[Product]],5)),"")</f>
        <v/>
      </c>
    </row>
    <row r="278" spans="1:10" x14ac:dyDescent="0.25">
      <c r="A278" s="11" t="str" cm="1">
        <f t="array" aca="1" ref="A278" ca="1">IFERROR(INDEX(_xlfn.ANCHORARRAY(contracts!$A$6),ROW()-ROW(rtd_data[#Headers]),1),"")</f>
        <v/>
      </c>
      <c r="B2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8" t="str">
        <f ca="1">IF(rtd_data[[#This Row],[Product]]="","",IF(LEN(TRIM(rtd_data[[#This Row],[Product]]))-LEN(SUBSTITUTE(TRIM(rtd_data[[#This Row],[Product]])," ",""))&gt;=2,"Spread","Future"))</f>
        <v/>
      </c>
      <c r="D278" t="str">
        <f ca="1">IFERROR(INDEX(exch_map[Exch],MATCH(rtd_data[[#This Row],[Group]],exch_map[Group],0)),"")</f>
        <v/>
      </c>
      <c r="E278" s="11" t="str" cm="1">
        <f t="array" aca="1" ref="E278" ca="1">IFERROR(INDEX(_xlfn.ANCHORARRAY(contracts!$A$6),ROW()-ROW(rtd_data[#Headers]),2),"")</f>
        <v/>
      </c>
      <c r="F2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8" t="str">
        <f ca="1">IF(rtd_data[[#This Row],[Exch]]="","",IF(rtd_data[[#This Row],[Exch]]="ICE_L","ICE",rtd_data[[#This Row],[Exch]]))</f>
        <v/>
      </c>
      <c r="I278" t="str">
        <f ca="1">IF(rtd_data[[#This Row],[Product]]="","",IFERROR(INDEX(exch_map[TT_Symbol],MATCH(rtd_data[[#This Row],[Group]],exch_map[Group],0))&amp;"",""))</f>
        <v/>
      </c>
      <c r="J278" t="str">
        <f ca="1">IF(rtd_data[[#This Row],[Type]]="Future",PROPER(RIGHT(rtd_data[[#This Row],[Product]],5)),"")</f>
        <v/>
      </c>
    </row>
    <row r="279" spans="1:10" x14ac:dyDescent="0.25">
      <c r="A279" s="11" t="str" cm="1">
        <f t="array" aca="1" ref="A279" ca="1">IFERROR(INDEX(_xlfn.ANCHORARRAY(contracts!$A$6),ROW()-ROW(rtd_data[#Headers]),1),"")</f>
        <v/>
      </c>
      <c r="B2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9" t="str">
        <f ca="1">IF(rtd_data[[#This Row],[Product]]="","",IF(LEN(TRIM(rtd_data[[#This Row],[Product]]))-LEN(SUBSTITUTE(TRIM(rtd_data[[#This Row],[Product]])," ",""))&gt;=2,"Spread","Future"))</f>
        <v/>
      </c>
      <c r="D279" t="str">
        <f ca="1">IFERROR(INDEX(exch_map[Exch],MATCH(rtd_data[[#This Row],[Group]],exch_map[Group],0)),"")</f>
        <v/>
      </c>
      <c r="E279" s="11" t="str" cm="1">
        <f t="array" aca="1" ref="E279" ca="1">IFERROR(INDEX(_xlfn.ANCHORARRAY(contracts!$A$6),ROW()-ROW(rtd_data[#Headers]),2),"")</f>
        <v/>
      </c>
      <c r="F2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9" t="str">
        <f ca="1">IF(rtd_data[[#This Row],[Exch]]="","",IF(rtd_data[[#This Row],[Exch]]="ICE_L","ICE",rtd_data[[#This Row],[Exch]]))</f>
        <v/>
      </c>
      <c r="I279" t="str">
        <f ca="1">IF(rtd_data[[#This Row],[Product]]="","",IFERROR(INDEX(exch_map[TT_Symbol],MATCH(rtd_data[[#This Row],[Group]],exch_map[Group],0))&amp;"",""))</f>
        <v/>
      </c>
      <c r="J279" t="str">
        <f ca="1">IF(rtd_data[[#This Row],[Type]]="Future",PROPER(RIGHT(rtd_data[[#This Row],[Product]],5)),"")</f>
        <v/>
      </c>
    </row>
    <row r="280" spans="1:10" x14ac:dyDescent="0.25">
      <c r="A280" s="11" t="str" cm="1">
        <f t="array" aca="1" ref="A280" ca="1">IFERROR(INDEX(_xlfn.ANCHORARRAY(contracts!$A$6),ROW()-ROW(rtd_data[#Headers]),1),"")</f>
        <v/>
      </c>
      <c r="B2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0" t="str">
        <f ca="1">IF(rtd_data[[#This Row],[Product]]="","",IF(LEN(TRIM(rtd_data[[#This Row],[Product]]))-LEN(SUBSTITUTE(TRIM(rtd_data[[#This Row],[Product]])," ",""))&gt;=2,"Spread","Future"))</f>
        <v/>
      </c>
      <c r="D280" t="str">
        <f ca="1">IFERROR(INDEX(exch_map[Exch],MATCH(rtd_data[[#This Row],[Group]],exch_map[Group],0)),"")</f>
        <v/>
      </c>
      <c r="E280" s="11" t="str" cm="1">
        <f t="array" aca="1" ref="E280" ca="1">IFERROR(INDEX(_xlfn.ANCHORARRAY(contracts!$A$6),ROW()-ROW(rtd_data[#Headers]),2),"")</f>
        <v/>
      </c>
      <c r="F2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0" t="str">
        <f ca="1">IF(rtd_data[[#This Row],[Exch]]="","",IF(rtd_data[[#This Row],[Exch]]="ICE_L","ICE",rtd_data[[#This Row],[Exch]]))</f>
        <v/>
      </c>
      <c r="I280" t="str">
        <f ca="1">IF(rtd_data[[#This Row],[Product]]="","",IFERROR(INDEX(exch_map[TT_Symbol],MATCH(rtd_data[[#This Row],[Group]],exch_map[Group],0))&amp;"",""))</f>
        <v/>
      </c>
      <c r="J280" t="str">
        <f ca="1">IF(rtd_data[[#This Row],[Type]]="Future",PROPER(RIGHT(rtd_data[[#This Row],[Product]],5)),"")</f>
        <v/>
      </c>
    </row>
    <row r="281" spans="1:10" x14ac:dyDescent="0.25">
      <c r="A281" s="11" t="str" cm="1">
        <f t="array" aca="1" ref="A281" ca="1">IFERROR(INDEX(_xlfn.ANCHORARRAY(contracts!$A$6),ROW()-ROW(rtd_data[#Headers]),1),"")</f>
        <v/>
      </c>
      <c r="B2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1" t="str">
        <f ca="1">IF(rtd_data[[#This Row],[Product]]="","",IF(LEN(TRIM(rtd_data[[#This Row],[Product]]))-LEN(SUBSTITUTE(TRIM(rtd_data[[#This Row],[Product]])," ",""))&gt;=2,"Spread","Future"))</f>
        <v/>
      </c>
      <c r="D281" t="str">
        <f ca="1">IFERROR(INDEX(exch_map[Exch],MATCH(rtd_data[[#This Row],[Group]],exch_map[Group],0)),"")</f>
        <v/>
      </c>
      <c r="E281" s="11" t="str" cm="1">
        <f t="array" aca="1" ref="E281" ca="1">IFERROR(INDEX(_xlfn.ANCHORARRAY(contracts!$A$6),ROW()-ROW(rtd_data[#Headers]),2),"")</f>
        <v/>
      </c>
      <c r="F2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1" t="str">
        <f ca="1">IF(rtd_data[[#This Row],[Exch]]="","",IF(rtd_data[[#This Row],[Exch]]="ICE_L","ICE",rtd_data[[#This Row],[Exch]]))</f>
        <v/>
      </c>
      <c r="I281" t="str">
        <f ca="1">IF(rtd_data[[#This Row],[Product]]="","",IFERROR(INDEX(exch_map[TT_Symbol],MATCH(rtd_data[[#This Row],[Group]],exch_map[Group],0))&amp;"",""))</f>
        <v/>
      </c>
      <c r="J281" t="str">
        <f ca="1">IF(rtd_data[[#This Row],[Type]]="Future",PROPER(RIGHT(rtd_data[[#This Row],[Product]],5)),"")</f>
        <v/>
      </c>
    </row>
    <row r="282" spans="1:10" x14ac:dyDescent="0.25">
      <c r="A282" s="11" t="str" cm="1">
        <f t="array" aca="1" ref="A282" ca="1">IFERROR(INDEX(_xlfn.ANCHORARRAY(contracts!$A$6),ROW()-ROW(rtd_data[#Headers]),1),"")</f>
        <v/>
      </c>
      <c r="B2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2" t="str">
        <f ca="1">IF(rtd_data[[#This Row],[Product]]="","",IF(LEN(TRIM(rtd_data[[#This Row],[Product]]))-LEN(SUBSTITUTE(TRIM(rtd_data[[#This Row],[Product]])," ",""))&gt;=2,"Spread","Future"))</f>
        <v/>
      </c>
      <c r="D282" t="str">
        <f ca="1">IFERROR(INDEX(exch_map[Exch],MATCH(rtd_data[[#This Row],[Group]],exch_map[Group],0)),"")</f>
        <v/>
      </c>
      <c r="E282" s="11" t="str" cm="1">
        <f t="array" aca="1" ref="E282" ca="1">IFERROR(INDEX(_xlfn.ANCHORARRAY(contracts!$A$6),ROW()-ROW(rtd_data[#Headers]),2),"")</f>
        <v/>
      </c>
      <c r="F2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2" t="str">
        <f ca="1">IF(rtd_data[[#This Row],[Exch]]="","",IF(rtd_data[[#This Row],[Exch]]="ICE_L","ICE",rtd_data[[#This Row],[Exch]]))</f>
        <v/>
      </c>
      <c r="I282" t="str">
        <f ca="1">IF(rtd_data[[#This Row],[Product]]="","",IFERROR(INDEX(exch_map[TT_Symbol],MATCH(rtd_data[[#This Row],[Group]],exch_map[Group],0))&amp;"",""))</f>
        <v/>
      </c>
      <c r="J282" t="str">
        <f ca="1">IF(rtd_data[[#This Row],[Type]]="Future",PROPER(RIGHT(rtd_data[[#This Row],[Product]],5)),"")</f>
        <v/>
      </c>
    </row>
    <row r="283" spans="1:10" x14ac:dyDescent="0.25">
      <c r="A283" s="11" t="str" cm="1">
        <f t="array" aca="1" ref="A283" ca="1">IFERROR(INDEX(_xlfn.ANCHORARRAY(contracts!$A$6),ROW()-ROW(rtd_data[#Headers]),1),"")</f>
        <v/>
      </c>
      <c r="B2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3" t="str">
        <f ca="1">IF(rtd_data[[#This Row],[Product]]="","",IF(LEN(TRIM(rtd_data[[#This Row],[Product]]))-LEN(SUBSTITUTE(TRIM(rtd_data[[#This Row],[Product]])," ",""))&gt;=2,"Spread","Future"))</f>
        <v/>
      </c>
      <c r="D283" t="str">
        <f ca="1">IFERROR(INDEX(exch_map[Exch],MATCH(rtd_data[[#This Row],[Group]],exch_map[Group],0)),"")</f>
        <v/>
      </c>
      <c r="E283" s="11" t="str" cm="1">
        <f t="array" aca="1" ref="E283" ca="1">IFERROR(INDEX(_xlfn.ANCHORARRAY(contracts!$A$6),ROW()-ROW(rtd_data[#Headers]),2),"")</f>
        <v/>
      </c>
      <c r="F2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3" t="str">
        <f ca="1">IF(rtd_data[[#This Row],[Exch]]="","",IF(rtd_data[[#This Row],[Exch]]="ICE_L","ICE",rtd_data[[#This Row],[Exch]]))</f>
        <v/>
      </c>
      <c r="I283" t="str">
        <f ca="1">IF(rtd_data[[#This Row],[Product]]="","",IFERROR(INDEX(exch_map[TT_Symbol],MATCH(rtd_data[[#This Row],[Group]],exch_map[Group],0))&amp;"",""))</f>
        <v/>
      </c>
      <c r="J283" t="str">
        <f ca="1">IF(rtd_data[[#This Row],[Type]]="Future",PROPER(RIGHT(rtd_data[[#This Row],[Product]],5)),"")</f>
        <v/>
      </c>
    </row>
    <row r="284" spans="1:10" x14ac:dyDescent="0.25">
      <c r="A284" s="11" t="str" cm="1">
        <f t="array" aca="1" ref="A284" ca="1">IFERROR(INDEX(_xlfn.ANCHORARRAY(contracts!$A$6),ROW()-ROW(rtd_data[#Headers]),1),"")</f>
        <v/>
      </c>
      <c r="B2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4" t="str">
        <f ca="1">IF(rtd_data[[#This Row],[Product]]="","",IF(LEN(TRIM(rtd_data[[#This Row],[Product]]))-LEN(SUBSTITUTE(TRIM(rtd_data[[#This Row],[Product]])," ",""))&gt;=2,"Spread","Future"))</f>
        <v/>
      </c>
      <c r="D284" t="str">
        <f ca="1">IFERROR(INDEX(exch_map[Exch],MATCH(rtd_data[[#This Row],[Group]],exch_map[Group],0)),"")</f>
        <v/>
      </c>
      <c r="E284" s="11" t="str" cm="1">
        <f t="array" aca="1" ref="E284" ca="1">IFERROR(INDEX(_xlfn.ANCHORARRAY(contracts!$A$6),ROW()-ROW(rtd_data[#Headers]),2),"")</f>
        <v/>
      </c>
      <c r="F2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4" t="str">
        <f ca="1">IF(rtd_data[[#This Row],[Exch]]="","",IF(rtd_data[[#This Row],[Exch]]="ICE_L","ICE",rtd_data[[#This Row],[Exch]]))</f>
        <v/>
      </c>
      <c r="I284" t="str">
        <f ca="1">IF(rtd_data[[#This Row],[Product]]="","",IFERROR(INDEX(exch_map[TT_Symbol],MATCH(rtd_data[[#This Row],[Group]],exch_map[Group],0))&amp;"",""))</f>
        <v/>
      </c>
      <c r="J284" t="str">
        <f ca="1">IF(rtd_data[[#This Row],[Type]]="Future",PROPER(RIGHT(rtd_data[[#This Row],[Product]],5)),"")</f>
        <v/>
      </c>
    </row>
    <row r="285" spans="1:10" x14ac:dyDescent="0.25">
      <c r="A285" s="11" t="str" cm="1">
        <f t="array" aca="1" ref="A285" ca="1">IFERROR(INDEX(_xlfn.ANCHORARRAY(contracts!$A$6),ROW()-ROW(rtd_data[#Headers]),1),"")</f>
        <v/>
      </c>
      <c r="B2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5" t="str">
        <f ca="1">IF(rtd_data[[#This Row],[Product]]="","",IF(LEN(TRIM(rtd_data[[#This Row],[Product]]))-LEN(SUBSTITUTE(TRIM(rtd_data[[#This Row],[Product]])," ",""))&gt;=2,"Spread","Future"))</f>
        <v/>
      </c>
      <c r="D285" t="str">
        <f ca="1">IFERROR(INDEX(exch_map[Exch],MATCH(rtd_data[[#This Row],[Group]],exch_map[Group],0)),"")</f>
        <v/>
      </c>
      <c r="E285" s="11" t="str" cm="1">
        <f t="array" aca="1" ref="E285" ca="1">IFERROR(INDEX(_xlfn.ANCHORARRAY(contracts!$A$6),ROW()-ROW(rtd_data[#Headers]),2),"")</f>
        <v/>
      </c>
      <c r="F2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5" t="str">
        <f ca="1">IF(rtd_data[[#This Row],[Exch]]="","",IF(rtd_data[[#This Row],[Exch]]="ICE_L","ICE",rtd_data[[#This Row],[Exch]]))</f>
        <v/>
      </c>
      <c r="I285" t="str">
        <f ca="1">IF(rtd_data[[#This Row],[Product]]="","",IFERROR(INDEX(exch_map[TT_Symbol],MATCH(rtd_data[[#This Row],[Group]],exch_map[Group],0))&amp;"",""))</f>
        <v/>
      </c>
      <c r="J285" t="str">
        <f ca="1">IF(rtd_data[[#This Row],[Type]]="Future",PROPER(RIGHT(rtd_data[[#This Row],[Product]],5)),"")</f>
        <v/>
      </c>
    </row>
    <row r="286" spans="1:10" x14ac:dyDescent="0.25">
      <c r="A286" s="11" t="str" cm="1">
        <f t="array" aca="1" ref="A286" ca="1">IFERROR(INDEX(_xlfn.ANCHORARRAY(contracts!$A$6),ROW()-ROW(rtd_data[#Headers]),1),"")</f>
        <v/>
      </c>
      <c r="B2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6" t="str">
        <f ca="1">IF(rtd_data[[#This Row],[Product]]="","",IF(LEN(TRIM(rtd_data[[#This Row],[Product]]))-LEN(SUBSTITUTE(TRIM(rtd_data[[#This Row],[Product]])," ",""))&gt;=2,"Spread","Future"))</f>
        <v/>
      </c>
      <c r="D286" t="str">
        <f ca="1">IFERROR(INDEX(exch_map[Exch],MATCH(rtd_data[[#This Row],[Group]],exch_map[Group],0)),"")</f>
        <v/>
      </c>
      <c r="E286" s="11" t="str" cm="1">
        <f t="array" aca="1" ref="E286" ca="1">IFERROR(INDEX(_xlfn.ANCHORARRAY(contracts!$A$6),ROW()-ROW(rtd_data[#Headers]),2),"")</f>
        <v/>
      </c>
      <c r="F2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6" t="str">
        <f ca="1">IF(rtd_data[[#This Row],[Exch]]="","",IF(rtd_data[[#This Row],[Exch]]="ICE_L","ICE",rtd_data[[#This Row],[Exch]]))</f>
        <v/>
      </c>
      <c r="I286" t="str">
        <f ca="1">IF(rtd_data[[#This Row],[Product]]="","",IFERROR(INDEX(exch_map[TT_Symbol],MATCH(rtd_data[[#This Row],[Group]],exch_map[Group],0))&amp;"",""))</f>
        <v/>
      </c>
      <c r="J286" t="str">
        <f ca="1">IF(rtd_data[[#This Row],[Type]]="Future",PROPER(RIGHT(rtd_data[[#This Row],[Product]],5)),"")</f>
        <v/>
      </c>
    </row>
    <row r="287" spans="1:10" x14ac:dyDescent="0.25">
      <c r="A287" s="11" t="str" cm="1">
        <f t="array" aca="1" ref="A287" ca="1">IFERROR(INDEX(_xlfn.ANCHORARRAY(contracts!$A$6),ROW()-ROW(rtd_data[#Headers]),1),"")</f>
        <v/>
      </c>
      <c r="B2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7" t="str">
        <f ca="1">IF(rtd_data[[#This Row],[Product]]="","",IF(LEN(TRIM(rtd_data[[#This Row],[Product]]))-LEN(SUBSTITUTE(TRIM(rtd_data[[#This Row],[Product]])," ",""))&gt;=2,"Spread","Future"))</f>
        <v/>
      </c>
      <c r="D287" t="str">
        <f ca="1">IFERROR(INDEX(exch_map[Exch],MATCH(rtd_data[[#This Row],[Group]],exch_map[Group],0)),"")</f>
        <v/>
      </c>
      <c r="E287" s="11" t="str" cm="1">
        <f t="array" aca="1" ref="E287" ca="1">IFERROR(INDEX(_xlfn.ANCHORARRAY(contracts!$A$6),ROW()-ROW(rtd_data[#Headers]),2),"")</f>
        <v/>
      </c>
      <c r="F2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7" t="str">
        <f ca="1">IF(rtd_data[[#This Row],[Exch]]="","",IF(rtd_data[[#This Row],[Exch]]="ICE_L","ICE",rtd_data[[#This Row],[Exch]]))</f>
        <v/>
      </c>
      <c r="I287" t="str">
        <f ca="1">IF(rtd_data[[#This Row],[Product]]="","",IFERROR(INDEX(exch_map[TT_Symbol],MATCH(rtd_data[[#This Row],[Group]],exch_map[Group],0))&amp;"",""))</f>
        <v/>
      </c>
      <c r="J287" t="str">
        <f ca="1">IF(rtd_data[[#This Row],[Type]]="Future",PROPER(RIGHT(rtd_data[[#This Row],[Product]],5)),"")</f>
        <v/>
      </c>
    </row>
    <row r="288" spans="1:10" x14ac:dyDescent="0.25">
      <c r="A288" s="11" t="str" cm="1">
        <f t="array" aca="1" ref="A288" ca="1">IFERROR(INDEX(_xlfn.ANCHORARRAY(contracts!$A$6),ROW()-ROW(rtd_data[#Headers]),1),"")</f>
        <v/>
      </c>
      <c r="B2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8" t="str">
        <f ca="1">IF(rtd_data[[#This Row],[Product]]="","",IF(LEN(TRIM(rtd_data[[#This Row],[Product]]))-LEN(SUBSTITUTE(TRIM(rtd_data[[#This Row],[Product]])," ",""))&gt;=2,"Spread","Future"))</f>
        <v/>
      </c>
      <c r="D288" t="str">
        <f ca="1">IFERROR(INDEX(exch_map[Exch],MATCH(rtd_data[[#This Row],[Group]],exch_map[Group],0)),"")</f>
        <v/>
      </c>
      <c r="E288" s="11" t="str" cm="1">
        <f t="array" aca="1" ref="E288" ca="1">IFERROR(INDEX(_xlfn.ANCHORARRAY(contracts!$A$6),ROW()-ROW(rtd_data[#Headers]),2),"")</f>
        <v/>
      </c>
      <c r="F2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8" t="str">
        <f ca="1">IF(rtd_data[[#This Row],[Exch]]="","",IF(rtd_data[[#This Row],[Exch]]="ICE_L","ICE",rtd_data[[#This Row],[Exch]]))</f>
        <v/>
      </c>
      <c r="I288" t="str">
        <f ca="1">IF(rtd_data[[#This Row],[Product]]="","",IFERROR(INDEX(exch_map[TT_Symbol],MATCH(rtd_data[[#This Row],[Group]],exch_map[Group],0))&amp;"",""))</f>
        <v/>
      </c>
      <c r="J288" t="str">
        <f ca="1">IF(rtd_data[[#This Row],[Type]]="Future",PROPER(RIGHT(rtd_data[[#This Row],[Product]],5)),"")</f>
        <v/>
      </c>
    </row>
    <row r="289" spans="1:10" x14ac:dyDescent="0.25">
      <c r="A289" s="11" t="str" cm="1">
        <f t="array" aca="1" ref="A289" ca="1">IFERROR(INDEX(_xlfn.ANCHORARRAY(contracts!$A$6),ROW()-ROW(rtd_data[#Headers]),1),"")</f>
        <v/>
      </c>
      <c r="B2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9" t="str">
        <f ca="1">IF(rtd_data[[#This Row],[Product]]="","",IF(LEN(TRIM(rtd_data[[#This Row],[Product]]))-LEN(SUBSTITUTE(TRIM(rtd_data[[#This Row],[Product]])," ",""))&gt;=2,"Spread","Future"))</f>
        <v/>
      </c>
      <c r="D289" t="str">
        <f ca="1">IFERROR(INDEX(exch_map[Exch],MATCH(rtd_data[[#This Row],[Group]],exch_map[Group],0)),"")</f>
        <v/>
      </c>
      <c r="E289" s="11" t="str" cm="1">
        <f t="array" aca="1" ref="E289" ca="1">IFERROR(INDEX(_xlfn.ANCHORARRAY(contracts!$A$6),ROW()-ROW(rtd_data[#Headers]),2),"")</f>
        <v/>
      </c>
      <c r="F2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9" t="str">
        <f ca="1">IF(rtd_data[[#This Row],[Exch]]="","",IF(rtd_data[[#This Row],[Exch]]="ICE_L","ICE",rtd_data[[#This Row],[Exch]]))</f>
        <v/>
      </c>
      <c r="I289" t="str">
        <f ca="1">IF(rtd_data[[#This Row],[Product]]="","",IFERROR(INDEX(exch_map[TT_Symbol],MATCH(rtd_data[[#This Row],[Group]],exch_map[Group],0))&amp;"",""))</f>
        <v/>
      </c>
      <c r="J289" t="str">
        <f ca="1">IF(rtd_data[[#This Row],[Type]]="Future",PROPER(RIGHT(rtd_data[[#This Row],[Product]],5)),"")</f>
        <v/>
      </c>
    </row>
    <row r="290" spans="1:10" x14ac:dyDescent="0.25">
      <c r="A290" s="11" t="str" cm="1">
        <f t="array" aca="1" ref="A290" ca="1">IFERROR(INDEX(_xlfn.ANCHORARRAY(contracts!$A$6),ROW()-ROW(rtd_data[#Headers]),1),"")</f>
        <v/>
      </c>
      <c r="B2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0" t="str">
        <f ca="1">IF(rtd_data[[#This Row],[Product]]="","",IF(LEN(TRIM(rtd_data[[#This Row],[Product]]))-LEN(SUBSTITUTE(TRIM(rtd_data[[#This Row],[Product]])," ",""))&gt;=2,"Spread","Future"))</f>
        <v/>
      </c>
      <c r="D290" t="str">
        <f ca="1">IFERROR(INDEX(exch_map[Exch],MATCH(rtd_data[[#This Row],[Group]],exch_map[Group],0)),"")</f>
        <v/>
      </c>
      <c r="E290" s="11" t="str" cm="1">
        <f t="array" aca="1" ref="E290" ca="1">IFERROR(INDEX(_xlfn.ANCHORARRAY(contracts!$A$6),ROW()-ROW(rtd_data[#Headers]),2),"")</f>
        <v/>
      </c>
      <c r="F2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0" t="str">
        <f ca="1">IF(rtd_data[[#This Row],[Exch]]="","",IF(rtd_data[[#This Row],[Exch]]="ICE_L","ICE",rtd_data[[#This Row],[Exch]]))</f>
        <v/>
      </c>
      <c r="I290" t="str">
        <f ca="1">IF(rtd_data[[#This Row],[Product]]="","",IFERROR(INDEX(exch_map[TT_Symbol],MATCH(rtd_data[[#This Row],[Group]],exch_map[Group],0))&amp;"",""))</f>
        <v/>
      </c>
      <c r="J290" t="str">
        <f ca="1">IF(rtd_data[[#This Row],[Type]]="Future",PROPER(RIGHT(rtd_data[[#This Row],[Product]],5)),"")</f>
        <v/>
      </c>
    </row>
    <row r="291" spans="1:10" x14ac:dyDescent="0.25">
      <c r="A291" s="11" t="str" cm="1">
        <f t="array" aca="1" ref="A291" ca="1">IFERROR(INDEX(_xlfn.ANCHORARRAY(contracts!$A$6),ROW()-ROW(rtd_data[#Headers]),1),"")</f>
        <v/>
      </c>
      <c r="B2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1" t="str">
        <f ca="1">IF(rtd_data[[#This Row],[Product]]="","",IF(LEN(TRIM(rtd_data[[#This Row],[Product]]))-LEN(SUBSTITUTE(TRIM(rtd_data[[#This Row],[Product]])," ",""))&gt;=2,"Spread","Future"))</f>
        <v/>
      </c>
      <c r="D291" t="str">
        <f ca="1">IFERROR(INDEX(exch_map[Exch],MATCH(rtd_data[[#This Row],[Group]],exch_map[Group],0)),"")</f>
        <v/>
      </c>
      <c r="E291" s="11" t="str" cm="1">
        <f t="array" aca="1" ref="E291" ca="1">IFERROR(INDEX(_xlfn.ANCHORARRAY(contracts!$A$6),ROW()-ROW(rtd_data[#Headers]),2),"")</f>
        <v/>
      </c>
      <c r="F2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1" t="str">
        <f ca="1">IF(rtd_data[[#This Row],[Exch]]="","",IF(rtd_data[[#This Row],[Exch]]="ICE_L","ICE",rtd_data[[#This Row],[Exch]]))</f>
        <v/>
      </c>
      <c r="I291" t="str">
        <f ca="1">IF(rtd_data[[#This Row],[Product]]="","",IFERROR(INDEX(exch_map[TT_Symbol],MATCH(rtd_data[[#This Row],[Group]],exch_map[Group],0))&amp;"",""))</f>
        <v/>
      </c>
      <c r="J291" t="str">
        <f ca="1">IF(rtd_data[[#This Row],[Type]]="Future",PROPER(RIGHT(rtd_data[[#This Row],[Product]],5)),"")</f>
        <v/>
      </c>
    </row>
    <row r="292" spans="1:10" x14ac:dyDescent="0.25">
      <c r="A292" s="11" t="str" cm="1">
        <f t="array" aca="1" ref="A292" ca="1">IFERROR(INDEX(_xlfn.ANCHORARRAY(contracts!$A$6),ROW()-ROW(rtd_data[#Headers]),1),"")</f>
        <v/>
      </c>
      <c r="B2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2" t="str">
        <f ca="1">IF(rtd_data[[#This Row],[Product]]="","",IF(LEN(TRIM(rtd_data[[#This Row],[Product]]))-LEN(SUBSTITUTE(TRIM(rtd_data[[#This Row],[Product]])," ",""))&gt;=2,"Spread","Future"))</f>
        <v/>
      </c>
      <c r="D292" t="str">
        <f ca="1">IFERROR(INDEX(exch_map[Exch],MATCH(rtd_data[[#This Row],[Group]],exch_map[Group],0)),"")</f>
        <v/>
      </c>
      <c r="E292" s="11" t="str" cm="1">
        <f t="array" aca="1" ref="E292" ca="1">IFERROR(INDEX(_xlfn.ANCHORARRAY(contracts!$A$6),ROW()-ROW(rtd_data[#Headers]),2),"")</f>
        <v/>
      </c>
      <c r="F2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2" t="str">
        <f ca="1">IF(rtd_data[[#This Row],[Exch]]="","",IF(rtd_data[[#This Row],[Exch]]="ICE_L","ICE",rtd_data[[#This Row],[Exch]]))</f>
        <v/>
      </c>
      <c r="I292" t="str">
        <f ca="1">IF(rtd_data[[#This Row],[Product]]="","",IFERROR(INDEX(exch_map[TT_Symbol],MATCH(rtd_data[[#This Row],[Group]],exch_map[Group],0))&amp;"",""))</f>
        <v/>
      </c>
      <c r="J292" t="str">
        <f ca="1">IF(rtd_data[[#This Row],[Type]]="Future",PROPER(RIGHT(rtd_data[[#This Row],[Product]],5)),"")</f>
        <v/>
      </c>
    </row>
    <row r="293" spans="1:10" x14ac:dyDescent="0.25">
      <c r="A293" s="11" t="str" cm="1">
        <f t="array" aca="1" ref="A293" ca="1">IFERROR(INDEX(_xlfn.ANCHORARRAY(contracts!$A$6),ROW()-ROW(rtd_data[#Headers]),1),"")</f>
        <v/>
      </c>
      <c r="B2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3" t="str">
        <f ca="1">IF(rtd_data[[#This Row],[Product]]="","",IF(LEN(TRIM(rtd_data[[#This Row],[Product]]))-LEN(SUBSTITUTE(TRIM(rtd_data[[#This Row],[Product]])," ",""))&gt;=2,"Spread","Future"))</f>
        <v/>
      </c>
      <c r="D293" t="str">
        <f ca="1">IFERROR(INDEX(exch_map[Exch],MATCH(rtd_data[[#This Row],[Group]],exch_map[Group],0)),"")</f>
        <v/>
      </c>
      <c r="E293" s="11" t="str" cm="1">
        <f t="array" aca="1" ref="E293" ca="1">IFERROR(INDEX(_xlfn.ANCHORARRAY(contracts!$A$6),ROW()-ROW(rtd_data[#Headers]),2),"")</f>
        <v/>
      </c>
      <c r="F2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3" t="str">
        <f ca="1">IF(rtd_data[[#This Row],[Exch]]="","",IF(rtd_data[[#This Row],[Exch]]="ICE_L","ICE",rtd_data[[#This Row],[Exch]]))</f>
        <v/>
      </c>
      <c r="I293" t="str">
        <f ca="1">IF(rtd_data[[#This Row],[Product]]="","",IFERROR(INDEX(exch_map[TT_Symbol],MATCH(rtd_data[[#This Row],[Group]],exch_map[Group],0))&amp;"",""))</f>
        <v/>
      </c>
      <c r="J293" t="str">
        <f ca="1">IF(rtd_data[[#This Row],[Type]]="Future",PROPER(RIGHT(rtd_data[[#This Row],[Product]],5)),"")</f>
        <v/>
      </c>
    </row>
    <row r="294" spans="1:10" x14ac:dyDescent="0.25">
      <c r="A294" s="11" t="str" cm="1">
        <f t="array" aca="1" ref="A294" ca="1">IFERROR(INDEX(_xlfn.ANCHORARRAY(contracts!$A$6),ROW()-ROW(rtd_data[#Headers]),1),"")</f>
        <v/>
      </c>
      <c r="B2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4" t="str">
        <f ca="1">IF(rtd_data[[#This Row],[Product]]="","",IF(LEN(TRIM(rtd_data[[#This Row],[Product]]))-LEN(SUBSTITUTE(TRIM(rtd_data[[#This Row],[Product]])," ",""))&gt;=2,"Spread","Future"))</f>
        <v/>
      </c>
      <c r="D294" t="str">
        <f ca="1">IFERROR(INDEX(exch_map[Exch],MATCH(rtd_data[[#This Row],[Group]],exch_map[Group],0)),"")</f>
        <v/>
      </c>
      <c r="E294" s="11" t="str" cm="1">
        <f t="array" aca="1" ref="E294" ca="1">IFERROR(INDEX(_xlfn.ANCHORARRAY(contracts!$A$6),ROW()-ROW(rtd_data[#Headers]),2),"")</f>
        <v/>
      </c>
      <c r="F2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4" t="str">
        <f ca="1">IF(rtd_data[[#This Row],[Exch]]="","",IF(rtd_data[[#This Row],[Exch]]="ICE_L","ICE",rtd_data[[#This Row],[Exch]]))</f>
        <v/>
      </c>
      <c r="I294" t="str">
        <f ca="1">IF(rtd_data[[#This Row],[Product]]="","",IFERROR(INDEX(exch_map[TT_Symbol],MATCH(rtd_data[[#This Row],[Group]],exch_map[Group],0))&amp;"",""))</f>
        <v/>
      </c>
      <c r="J294" t="str">
        <f ca="1">IF(rtd_data[[#This Row],[Type]]="Future",PROPER(RIGHT(rtd_data[[#This Row],[Product]],5)),"")</f>
        <v/>
      </c>
    </row>
    <row r="295" spans="1:10" x14ac:dyDescent="0.25">
      <c r="A295" s="11" t="str" cm="1">
        <f t="array" aca="1" ref="A295" ca="1">IFERROR(INDEX(_xlfn.ANCHORARRAY(contracts!$A$6),ROW()-ROW(rtd_data[#Headers]),1),"")</f>
        <v/>
      </c>
      <c r="B2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5" t="str">
        <f ca="1">IF(rtd_data[[#This Row],[Product]]="","",IF(LEN(TRIM(rtd_data[[#This Row],[Product]]))-LEN(SUBSTITUTE(TRIM(rtd_data[[#This Row],[Product]])," ",""))&gt;=2,"Spread","Future"))</f>
        <v/>
      </c>
      <c r="D295" t="str">
        <f ca="1">IFERROR(INDEX(exch_map[Exch],MATCH(rtd_data[[#This Row],[Group]],exch_map[Group],0)),"")</f>
        <v/>
      </c>
      <c r="E295" s="11" t="str" cm="1">
        <f t="array" aca="1" ref="E295" ca="1">IFERROR(INDEX(_xlfn.ANCHORARRAY(contracts!$A$6),ROW()-ROW(rtd_data[#Headers]),2),"")</f>
        <v/>
      </c>
      <c r="F2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5" t="str">
        <f ca="1">IF(rtd_data[[#This Row],[Exch]]="","",IF(rtd_data[[#This Row],[Exch]]="ICE_L","ICE",rtd_data[[#This Row],[Exch]]))</f>
        <v/>
      </c>
      <c r="I295" t="str">
        <f ca="1">IF(rtd_data[[#This Row],[Product]]="","",IFERROR(INDEX(exch_map[TT_Symbol],MATCH(rtd_data[[#This Row],[Group]],exch_map[Group],0))&amp;"",""))</f>
        <v/>
      </c>
      <c r="J295" t="str">
        <f ca="1">IF(rtd_data[[#This Row],[Type]]="Future",PROPER(RIGHT(rtd_data[[#This Row],[Product]],5)),"")</f>
        <v/>
      </c>
    </row>
    <row r="296" spans="1:10" x14ac:dyDescent="0.25">
      <c r="A296" s="11" t="str" cm="1">
        <f t="array" aca="1" ref="A296" ca="1">IFERROR(INDEX(_xlfn.ANCHORARRAY(contracts!$A$6),ROW()-ROW(rtd_data[#Headers]),1),"")</f>
        <v/>
      </c>
      <c r="B2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6" t="str">
        <f ca="1">IF(rtd_data[[#This Row],[Product]]="","",IF(LEN(TRIM(rtd_data[[#This Row],[Product]]))-LEN(SUBSTITUTE(TRIM(rtd_data[[#This Row],[Product]])," ",""))&gt;=2,"Spread","Future"))</f>
        <v/>
      </c>
      <c r="D296" t="str">
        <f ca="1">IFERROR(INDEX(exch_map[Exch],MATCH(rtd_data[[#This Row],[Group]],exch_map[Group],0)),"")</f>
        <v/>
      </c>
      <c r="E296" s="11" t="str" cm="1">
        <f t="array" aca="1" ref="E296" ca="1">IFERROR(INDEX(_xlfn.ANCHORARRAY(contracts!$A$6),ROW()-ROW(rtd_data[#Headers]),2),"")</f>
        <v/>
      </c>
      <c r="F2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6" t="str">
        <f ca="1">IF(rtd_data[[#This Row],[Exch]]="","",IF(rtd_data[[#This Row],[Exch]]="ICE_L","ICE",rtd_data[[#This Row],[Exch]]))</f>
        <v/>
      </c>
      <c r="I296" t="str">
        <f ca="1">IF(rtd_data[[#This Row],[Product]]="","",IFERROR(INDEX(exch_map[TT_Symbol],MATCH(rtd_data[[#This Row],[Group]],exch_map[Group],0))&amp;"",""))</f>
        <v/>
      </c>
      <c r="J296" t="str">
        <f ca="1">IF(rtd_data[[#This Row],[Type]]="Future",PROPER(RIGHT(rtd_data[[#This Row],[Product]],5)),"")</f>
        <v/>
      </c>
    </row>
    <row r="297" spans="1:10" x14ac:dyDescent="0.25">
      <c r="A297" s="11" t="str" cm="1">
        <f t="array" aca="1" ref="A297" ca="1">IFERROR(INDEX(_xlfn.ANCHORARRAY(contracts!$A$6),ROW()-ROW(rtd_data[#Headers]),1),"")</f>
        <v/>
      </c>
      <c r="B2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7" t="str">
        <f ca="1">IF(rtd_data[[#This Row],[Product]]="","",IF(LEN(TRIM(rtd_data[[#This Row],[Product]]))-LEN(SUBSTITUTE(TRIM(rtd_data[[#This Row],[Product]])," ",""))&gt;=2,"Spread","Future"))</f>
        <v/>
      </c>
      <c r="D297" t="str">
        <f ca="1">IFERROR(INDEX(exch_map[Exch],MATCH(rtd_data[[#This Row],[Group]],exch_map[Group],0)),"")</f>
        <v/>
      </c>
      <c r="E297" s="11" t="str" cm="1">
        <f t="array" aca="1" ref="E297" ca="1">IFERROR(INDEX(_xlfn.ANCHORARRAY(contracts!$A$6),ROW()-ROW(rtd_data[#Headers]),2),"")</f>
        <v/>
      </c>
      <c r="F2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7" t="str">
        <f ca="1">IF(rtd_data[[#This Row],[Exch]]="","",IF(rtd_data[[#This Row],[Exch]]="ICE_L","ICE",rtd_data[[#This Row],[Exch]]))</f>
        <v/>
      </c>
      <c r="I297" t="str">
        <f ca="1">IF(rtd_data[[#This Row],[Product]]="","",IFERROR(INDEX(exch_map[TT_Symbol],MATCH(rtd_data[[#This Row],[Group]],exch_map[Group],0))&amp;"",""))</f>
        <v/>
      </c>
      <c r="J297" t="str">
        <f ca="1">IF(rtd_data[[#This Row],[Type]]="Future",PROPER(RIGHT(rtd_data[[#This Row],[Product]],5)),"")</f>
        <v/>
      </c>
    </row>
    <row r="298" spans="1:10" x14ac:dyDescent="0.25">
      <c r="A298" s="11" t="str" cm="1">
        <f t="array" aca="1" ref="A298" ca="1">IFERROR(INDEX(_xlfn.ANCHORARRAY(contracts!$A$6),ROW()-ROW(rtd_data[#Headers]),1),"")</f>
        <v/>
      </c>
      <c r="B2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8" t="str">
        <f ca="1">IF(rtd_data[[#This Row],[Product]]="","",IF(LEN(TRIM(rtd_data[[#This Row],[Product]]))-LEN(SUBSTITUTE(TRIM(rtd_data[[#This Row],[Product]])," ",""))&gt;=2,"Spread","Future"))</f>
        <v/>
      </c>
      <c r="D298" t="str">
        <f ca="1">IFERROR(INDEX(exch_map[Exch],MATCH(rtd_data[[#This Row],[Group]],exch_map[Group],0)),"")</f>
        <v/>
      </c>
      <c r="E298" s="11" t="str" cm="1">
        <f t="array" aca="1" ref="E298" ca="1">IFERROR(INDEX(_xlfn.ANCHORARRAY(contracts!$A$6),ROW()-ROW(rtd_data[#Headers]),2),"")</f>
        <v/>
      </c>
      <c r="F2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8" t="str">
        <f ca="1">IF(rtd_data[[#This Row],[Exch]]="","",IF(rtd_data[[#This Row],[Exch]]="ICE_L","ICE",rtd_data[[#This Row],[Exch]]))</f>
        <v/>
      </c>
      <c r="I298" t="str">
        <f ca="1">IF(rtd_data[[#This Row],[Product]]="","",IFERROR(INDEX(exch_map[TT_Symbol],MATCH(rtd_data[[#This Row],[Group]],exch_map[Group],0))&amp;"",""))</f>
        <v/>
      </c>
      <c r="J298" t="str">
        <f ca="1">IF(rtd_data[[#This Row],[Type]]="Future",PROPER(RIGHT(rtd_data[[#This Row],[Product]],5)),"")</f>
        <v/>
      </c>
    </row>
    <row r="299" spans="1:10" x14ac:dyDescent="0.25">
      <c r="A299" s="11" t="str" cm="1">
        <f t="array" aca="1" ref="A299" ca="1">IFERROR(INDEX(_xlfn.ANCHORARRAY(contracts!$A$6),ROW()-ROW(rtd_data[#Headers]),1),"")</f>
        <v/>
      </c>
      <c r="B2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9" t="str">
        <f ca="1">IF(rtd_data[[#This Row],[Product]]="","",IF(LEN(TRIM(rtd_data[[#This Row],[Product]]))-LEN(SUBSTITUTE(TRIM(rtd_data[[#This Row],[Product]])," ",""))&gt;=2,"Spread","Future"))</f>
        <v/>
      </c>
      <c r="D299" t="str">
        <f ca="1">IFERROR(INDEX(exch_map[Exch],MATCH(rtd_data[[#This Row],[Group]],exch_map[Group],0)),"")</f>
        <v/>
      </c>
      <c r="E299" s="11" t="str" cm="1">
        <f t="array" aca="1" ref="E299" ca="1">IFERROR(INDEX(_xlfn.ANCHORARRAY(contracts!$A$6),ROW()-ROW(rtd_data[#Headers]),2),"")</f>
        <v/>
      </c>
      <c r="F2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9" t="str">
        <f ca="1">IF(rtd_data[[#This Row],[Exch]]="","",IF(rtd_data[[#This Row],[Exch]]="ICE_L","ICE",rtd_data[[#This Row],[Exch]]))</f>
        <v/>
      </c>
      <c r="I299" t="str">
        <f ca="1">IF(rtd_data[[#This Row],[Product]]="","",IFERROR(INDEX(exch_map[TT_Symbol],MATCH(rtd_data[[#This Row],[Group]],exch_map[Group],0))&amp;"",""))</f>
        <v/>
      </c>
      <c r="J299" t="str">
        <f ca="1">IF(rtd_data[[#This Row],[Type]]="Future",PROPER(RIGHT(rtd_data[[#This Row],[Product]],5)),"")</f>
        <v/>
      </c>
    </row>
    <row r="300" spans="1:10" x14ac:dyDescent="0.25">
      <c r="A300" s="11" t="str" cm="1">
        <f t="array" aca="1" ref="A300" ca="1">IFERROR(INDEX(_xlfn.ANCHORARRAY(contracts!$A$6),ROW()-ROW(rtd_data[#Headers]),1),"")</f>
        <v/>
      </c>
      <c r="B3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0" t="str">
        <f ca="1">IF(rtd_data[[#This Row],[Product]]="","",IF(LEN(TRIM(rtd_data[[#This Row],[Product]]))-LEN(SUBSTITUTE(TRIM(rtd_data[[#This Row],[Product]])," ",""))&gt;=2,"Spread","Future"))</f>
        <v/>
      </c>
      <c r="D300" t="str">
        <f ca="1">IFERROR(INDEX(exch_map[Exch],MATCH(rtd_data[[#This Row],[Group]],exch_map[Group],0)),"")</f>
        <v/>
      </c>
      <c r="E300" s="11" t="str" cm="1">
        <f t="array" aca="1" ref="E300" ca="1">IFERROR(INDEX(_xlfn.ANCHORARRAY(contracts!$A$6),ROW()-ROW(rtd_data[#Headers]),2),"")</f>
        <v/>
      </c>
      <c r="F3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0" t="str">
        <f ca="1">IF(rtd_data[[#This Row],[Exch]]="","",IF(rtd_data[[#This Row],[Exch]]="ICE_L","ICE",rtd_data[[#This Row],[Exch]]))</f>
        <v/>
      </c>
      <c r="I300" t="str">
        <f ca="1">IF(rtd_data[[#This Row],[Product]]="","",IFERROR(INDEX(exch_map[TT_Symbol],MATCH(rtd_data[[#This Row],[Group]],exch_map[Group],0))&amp;"",""))</f>
        <v/>
      </c>
      <c r="J300" t="str">
        <f ca="1">IF(rtd_data[[#This Row],[Type]]="Future",PROPER(RIGHT(rtd_data[[#This Row],[Product]],5)),"")</f>
        <v/>
      </c>
    </row>
    <row r="301" spans="1:10" x14ac:dyDescent="0.25">
      <c r="A301" s="11" t="str" cm="1">
        <f t="array" aca="1" ref="A301" ca="1">IFERROR(INDEX(_xlfn.ANCHORARRAY(contracts!$A$6),ROW()-ROW(rtd_data[#Headers]),1),"")</f>
        <v/>
      </c>
      <c r="B3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1" t="str">
        <f ca="1">IF(rtd_data[[#This Row],[Product]]="","",IF(LEN(TRIM(rtd_data[[#This Row],[Product]]))-LEN(SUBSTITUTE(TRIM(rtd_data[[#This Row],[Product]])," ",""))&gt;=2,"Spread","Future"))</f>
        <v/>
      </c>
      <c r="D301" t="str">
        <f ca="1">IFERROR(INDEX(exch_map[Exch],MATCH(rtd_data[[#This Row],[Group]],exch_map[Group],0)),"")</f>
        <v/>
      </c>
      <c r="E301" s="11" t="str" cm="1">
        <f t="array" aca="1" ref="E301" ca="1">IFERROR(INDEX(_xlfn.ANCHORARRAY(contracts!$A$6),ROW()-ROW(rtd_data[#Headers]),2),"")</f>
        <v/>
      </c>
      <c r="F3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1" t="str">
        <f ca="1">IF(rtd_data[[#This Row],[Exch]]="","",IF(rtd_data[[#This Row],[Exch]]="ICE_L","ICE",rtd_data[[#This Row],[Exch]]))</f>
        <v/>
      </c>
      <c r="I301" t="str">
        <f ca="1">IF(rtd_data[[#This Row],[Product]]="","",IFERROR(INDEX(exch_map[TT_Symbol],MATCH(rtd_data[[#This Row],[Group]],exch_map[Group],0))&amp;"",""))</f>
        <v/>
      </c>
      <c r="J301" t="str">
        <f ca="1">IF(rtd_data[[#This Row],[Type]]="Future",PROPER(RIGHT(rtd_data[[#This Row],[Product]],5)),"")</f>
        <v/>
      </c>
    </row>
    <row r="302" spans="1:10" x14ac:dyDescent="0.25">
      <c r="A302" s="11" t="str" cm="1">
        <f t="array" aca="1" ref="A302" ca="1">IFERROR(INDEX(_xlfn.ANCHORARRAY(contracts!$A$6),ROW()-ROW(rtd_data[#Headers]),1),"")</f>
        <v/>
      </c>
      <c r="B3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2" t="str">
        <f ca="1">IF(rtd_data[[#This Row],[Product]]="","",IF(LEN(TRIM(rtd_data[[#This Row],[Product]]))-LEN(SUBSTITUTE(TRIM(rtd_data[[#This Row],[Product]])," ",""))&gt;=2,"Spread","Future"))</f>
        <v/>
      </c>
      <c r="D302" t="str">
        <f ca="1">IFERROR(INDEX(exch_map[Exch],MATCH(rtd_data[[#This Row],[Group]],exch_map[Group],0)),"")</f>
        <v/>
      </c>
      <c r="E302" s="11" t="str" cm="1">
        <f t="array" aca="1" ref="E302" ca="1">IFERROR(INDEX(_xlfn.ANCHORARRAY(contracts!$A$6),ROW()-ROW(rtd_data[#Headers]),2),"")</f>
        <v/>
      </c>
      <c r="F3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2" t="str">
        <f ca="1">IF(rtd_data[[#This Row],[Exch]]="","",IF(rtd_data[[#This Row],[Exch]]="ICE_L","ICE",rtd_data[[#This Row],[Exch]]))</f>
        <v/>
      </c>
      <c r="I302" t="str">
        <f ca="1">IF(rtd_data[[#This Row],[Product]]="","",IFERROR(INDEX(exch_map[TT_Symbol],MATCH(rtd_data[[#This Row],[Group]],exch_map[Group],0))&amp;"",""))</f>
        <v/>
      </c>
      <c r="J302" t="str">
        <f ca="1">IF(rtd_data[[#This Row],[Type]]="Future",PROPER(RIGHT(rtd_data[[#This Row],[Product]],5)),"")</f>
        <v/>
      </c>
    </row>
    <row r="303" spans="1:10" x14ac:dyDescent="0.25">
      <c r="A303" s="11" t="str" cm="1">
        <f t="array" aca="1" ref="A303" ca="1">IFERROR(INDEX(_xlfn.ANCHORARRAY(contracts!$A$6),ROW()-ROW(rtd_data[#Headers]),1),"")</f>
        <v/>
      </c>
      <c r="B3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3" t="str">
        <f ca="1">IF(rtd_data[[#This Row],[Product]]="","",IF(LEN(TRIM(rtd_data[[#This Row],[Product]]))-LEN(SUBSTITUTE(TRIM(rtd_data[[#This Row],[Product]])," ",""))&gt;=2,"Spread","Future"))</f>
        <v/>
      </c>
      <c r="D303" t="str">
        <f ca="1">IFERROR(INDEX(exch_map[Exch],MATCH(rtd_data[[#This Row],[Group]],exch_map[Group],0)),"")</f>
        <v/>
      </c>
      <c r="E303" s="11" t="str" cm="1">
        <f t="array" aca="1" ref="E303" ca="1">IFERROR(INDEX(_xlfn.ANCHORARRAY(contracts!$A$6),ROW()-ROW(rtd_data[#Headers]),2),"")</f>
        <v/>
      </c>
      <c r="F3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3" t="str">
        <f ca="1">IF(rtd_data[[#This Row],[Exch]]="","",IF(rtd_data[[#This Row],[Exch]]="ICE_L","ICE",rtd_data[[#This Row],[Exch]]))</f>
        <v/>
      </c>
      <c r="I303" t="str">
        <f ca="1">IF(rtd_data[[#This Row],[Product]]="","",IFERROR(INDEX(exch_map[TT_Symbol],MATCH(rtd_data[[#This Row],[Group]],exch_map[Group],0))&amp;"",""))</f>
        <v/>
      </c>
      <c r="J303" t="str">
        <f ca="1">IF(rtd_data[[#This Row],[Type]]="Future",PROPER(RIGHT(rtd_data[[#This Row],[Product]],5)),"")</f>
        <v/>
      </c>
    </row>
    <row r="304" spans="1:10" x14ac:dyDescent="0.25">
      <c r="A304" s="11" t="str" cm="1">
        <f t="array" aca="1" ref="A304" ca="1">IFERROR(INDEX(_xlfn.ANCHORARRAY(contracts!$A$6),ROW()-ROW(rtd_data[#Headers]),1),"")</f>
        <v/>
      </c>
      <c r="B3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4" t="str">
        <f ca="1">IF(rtd_data[[#This Row],[Product]]="","",IF(LEN(TRIM(rtd_data[[#This Row],[Product]]))-LEN(SUBSTITUTE(TRIM(rtd_data[[#This Row],[Product]])," ",""))&gt;=2,"Spread","Future"))</f>
        <v/>
      </c>
      <c r="D304" t="str">
        <f ca="1">IFERROR(INDEX(exch_map[Exch],MATCH(rtd_data[[#This Row],[Group]],exch_map[Group],0)),"")</f>
        <v/>
      </c>
      <c r="E304" s="11" t="str" cm="1">
        <f t="array" aca="1" ref="E304" ca="1">IFERROR(INDEX(_xlfn.ANCHORARRAY(contracts!$A$6),ROW()-ROW(rtd_data[#Headers]),2),"")</f>
        <v/>
      </c>
      <c r="F30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4" t="str">
        <f ca="1">IF(rtd_data[[#This Row],[Exch]]="","",IF(rtd_data[[#This Row],[Exch]]="ICE_L","ICE",rtd_data[[#This Row],[Exch]]))</f>
        <v/>
      </c>
      <c r="I304" t="str">
        <f ca="1">IF(rtd_data[[#This Row],[Product]]="","",IFERROR(INDEX(exch_map[TT_Symbol],MATCH(rtd_data[[#This Row],[Group]],exch_map[Group],0))&amp;"",""))</f>
        <v/>
      </c>
      <c r="J304" t="str">
        <f ca="1">IF(rtd_data[[#This Row],[Type]]="Future",PROPER(RIGHT(rtd_data[[#This Row],[Product]],5)),"")</f>
        <v/>
      </c>
    </row>
    <row r="305" spans="1:10" x14ac:dyDescent="0.25">
      <c r="A305" s="11" t="str" cm="1">
        <f t="array" aca="1" ref="A305" ca="1">IFERROR(INDEX(_xlfn.ANCHORARRAY(contracts!$A$6),ROW()-ROW(rtd_data[#Headers]),1),"")</f>
        <v/>
      </c>
      <c r="B3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5" t="str">
        <f ca="1">IF(rtd_data[[#This Row],[Product]]="","",IF(LEN(TRIM(rtd_data[[#This Row],[Product]]))-LEN(SUBSTITUTE(TRIM(rtd_data[[#This Row],[Product]])," ",""))&gt;=2,"Spread","Future"))</f>
        <v/>
      </c>
      <c r="D305" t="str">
        <f ca="1">IFERROR(INDEX(exch_map[Exch],MATCH(rtd_data[[#This Row],[Group]],exch_map[Group],0)),"")</f>
        <v/>
      </c>
      <c r="E305" s="11" t="str" cm="1">
        <f t="array" aca="1" ref="E305" ca="1">IFERROR(INDEX(_xlfn.ANCHORARRAY(contracts!$A$6),ROW()-ROW(rtd_data[#Headers]),2),"")</f>
        <v/>
      </c>
      <c r="F30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5" t="str">
        <f ca="1">IF(rtd_data[[#This Row],[Exch]]="","",IF(rtd_data[[#This Row],[Exch]]="ICE_L","ICE",rtd_data[[#This Row],[Exch]]))</f>
        <v/>
      </c>
      <c r="I305" t="str">
        <f ca="1">IF(rtd_data[[#This Row],[Product]]="","",IFERROR(INDEX(exch_map[TT_Symbol],MATCH(rtd_data[[#This Row],[Group]],exch_map[Group],0))&amp;"",""))</f>
        <v/>
      </c>
      <c r="J305" t="str">
        <f ca="1">IF(rtd_data[[#This Row],[Type]]="Future",PROPER(RIGHT(rtd_data[[#This Row],[Product]],5)),"")</f>
        <v/>
      </c>
    </row>
    <row r="306" spans="1:10" x14ac:dyDescent="0.25">
      <c r="A306" s="11" t="str" cm="1">
        <f t="array" aca="1" ref="A306" ca="1">IFERROR(INDEX(_xlfn.ANCHORARRAY(contracts!$A$6),ROW()-ROW(rtd_data[#Headers]),1),"")</f>
        <v/>
      </c>
      <c r="B3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6" t="str">
        <f ca="1">IF(rtd_data[[#This Row],[Product]]="","",IF(LEN(TRIM(rtd_data[[#This Row],[Product]]))-LEN(SUBSTITUTE(TRIM(rtd_data[[#This Row],[Product]])," ",""))&gt;=2,"Spread","Future"))</f>
        <v/>
      </c>
      <c r="D306" t="str">
        <f ca="1">IFERROR(INDEX(exch_map[Exch],MATCH(rtd_data[[#This Row],[Group]],exch_map[Group],0)),"")</f>
        <v/>
      </c>
      <c r="E306" s="11" t="str" cm="1">
        <f t="array" aca="1" ref="E306" ca="1">IFERROR(INDEX(_xlfn.ANCHORARRAY(contracts!$A$6),ROW()-ROW(rtd_data[#Headers]),2),"")</f>
        <v/>
      </c>
      <c r="F30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6" t="str">
        <f ca="1">IF(rtd_data[[#This Row],[Exch]]="","",IF(rtd_data[[#This Row],[Exch]]="ICE_L","ICE",rtd_data[[#This Row],[Exch]]))</f>
        <v/>
      </c>
      <c r="I306" t="str">
        <f ca="1">IF(rtd_data[[#This Row],[Product]]="","",IFERROR(INDEX(exch_map[TT_Symbol],MATCH(rtd_data[[#This Row],[Group]],exch_map[Group],0))&amp;"",""))</f>
        <v/>
      </c>
      <c r="J306" t="str">
        <f ca="1">IF(rtd_data[[#This Row],[Type]]="Future",PROPER(RIGHT(rtd_data[[#This Row],[Product]],5)),"")</f>
        <v/>
      </c>
    </row>
    <row r="307" spans="1:10" x14ac:dyDescent="0.25">
      <c r="A307" s="11" t="str" cm="1">
        <f t="array" aca="1" ref="A307" ca="1">IFERROR(INDEX(_xlfn.ANCHORARRAY(contracts!$A$6),ROW()-ROW(rtd_data[#Headers]),1),"")</f>
        <v/>
      </c>
      <c r="B3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7" t="str">
        <f ca="1">IF(rtd_data[[#This Row],[Product]]="","",IF(LEN(TRIM(rtd_data[[#This Row],[Product]]))-LEN(SUBSTITUTE(TRIM(rtd_data[[#This Row],[Product]])," ",""))&gt;=2,"Spread","Future"))</f>
        <v/>
      </c>
      <c r="D307" t="str">
        <f ca="1">IFERROR(INDEX(exch_map[Exch],MATCH(rtd_data[[#This Row],[Group]],exch_map[Group],0)),"")</f>
        <v/>
      </c>
      <c r="E307" s="11" t="str" cm="1">
        <f t="array" aca="1" ref="E307" ca="1">IFERROR(INDEX(_xlfn.ANCHORARRAY(contracts!$A$6),ROW()-ROW(rtd_data[#Headers]),2),"")</f>
        <v/>
      </c>
      <c r="F30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7" t="str">
        <f ca="1">IF(rtd_data[[#This Row],[Exch]]="","",IF(rtd_data[[#This Row],[Exch]]="ICE_L","ICE",rtd_data[[#This Row],[Exch]]))</f>
        <v/>
      </c>
      <c r="I307" t="str">
        <f ca="1">IF(rtd_data[[#This Row],[Product]]="","",IFERROR(INDEX(exch_map[TT_Symbol],MATCH(rtd_data[[#This Row],[Group]],exch_map[Group],0))&amp;"",""))</f>
        <v/>
      </c>
      <c r="J307" t="str">
        <f ca="1">IF(rtd_data[[#This Row],[Type]]="Future",PROPER(RIGHT(rtd_data[[#This Row],[Product]],5)),"")</f>
        <v/>
      </c>
    </row>
    <row r="308" spans="1:10" x14ac:dyDescent="0.25">
      <c r="A308" s="11" t="str" cm="1">
        <f t="array" aca="1" ref="A308" ca="1">IFERROR(INDEX(_xlfn.ANCHORARRAY(contracts!$A$6),ROW()-ROW(rtd_data[#Headers]),1),"")</f>
        <v/>
      </c>
      <c r="B3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8" t="str">
        <f ca="1">IF(rtd_data[[#This Row],[Product]]="","",IF(LEN(TRIM(rtd_data[[#This Row],[Product]]))-LEN(SUBSTITUTE(TRIM(rtd_data[[#This Row],[Product]])," ",""))&gt;=2,"Spread","Future"))</f>
        <v/>
      </c>
      <c r="D308" t="str">
        <f ca="1">IFERROR(INDEX(exch_map[Exch],MATCH(rtd_data[[#This Row],[Group]],exch_map[Group],0)),"")</f>
        <v/>
      </c>
      <c r="E308" s="11" t="str" cm="1">
        <f t="array" aca="1" ref="E308" ca="1">IFERROR(INDEX(_xlfn.ANCHORARRAY(contracts!$A$6),ROW()-ROW(rtd_data[#Headers]),2),"")</f>
        <v/>
      </c>
      <c r="F30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8" t="str">
        <f ca="1">IF(rtd_data[[#This Row],[Exch]]="","",IF(rtd_data[[#This Row],[Exch]]="ICE_L","ICE",rtd_data[[#This Row],[Exch]]))</f>
        <v/>
      </c>
      <c r="I308" t="str">
        <f ca="1">IF(rtd_data[[#This Row],[Product]]="","",IFERROR(INDEX(exch_map[TT_Symbol],MATCH(rtd_data[[#This Row],[Group]],exch_map[Group],0))&amp;"",""))</f>
        <v/>
      </c>
      <c r="J308" t="str">
        <f ca="1">IF(rtd_data[[#This Row],[Type]]="Future",PROPER(RIGHT(rtd_data[[#This Row],[Product]],5)),"")</f>
        <v/>
      </c>
    </row>
    <row r="309" spans="1:10" x14ac:dyDescent="0.25">
      <c r="A309" s="11" t="str" cm="1">
        <f t="array" aca="1" ref="A309" ca="1">IFERROR(INDEX(_xlfn.ANCHORARRAY(contracts!$A$6),ROW()-ROW(rtd_data[#Headers]),1),"")</f>
        <v/>
      </c>
      <c r="B3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9" t="str">
        <f ca="1">IF(rtd_data[[#This Row],[Product]]="","",IF(LEN(TRIM(rtd_data[[#This Row],[Product]]))-LEN(SUBSTITUTE(TRIM(rtd_data[[#This Row],[Product]])," ",""))&gt;=2,"Spread","Future"))</f>
        <v/>
      </c>
      <c r="D309" t="str">
        <f ca="1">IFERROR(INDEX(exch_map[Exch],MATCH(rtd_data[[#This Row],[Group]],exch_map[Group],0)),"")</f>
        <v/>
      </c>
      <c r="E309" s="11" t="str" cm="1">
        <f t="array" aca="1" ref="E309" ca="1">IFERROR(INDEX(_xlfn.ANCHORARRAY(contracts!$A$6),ROW()-ROW(rtd_data[#Headers]),2),"")</f>
        <v/>
      </c>
      <c r="F30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9" t="str">
        <f ca="1">IF(rtd_data[[#This Row],[Exch]]="","",IF(rtd_data[[#This Row],[Exch]]="ICE_L","ICE",rtd_data[[#This Row],[Exch]]))</f>
        <v/>
      </c>
      <c r="I309" t="str">
        <f ca="1">IF(rtd_data[[#This Row],[Product]]="","",IFERROR(INDEX(exch_map[TT_Symbol],MATCH(rtd_data[[#This Row],[Group]],exch_map[Group],0))&amp;"",""))</f>
        <v/>
      </c>
      <c r="J309" t="str">
        <f ca="1">IF(rtd_data[[#This Row],[Type]]="Future",PROPER(RIGHT(rtd_data[[#This Row],[Product]],5)),"")</f>
        <v/>
      </c>
    </row>
    <row r="310" spans="1:10" x14ac:dyDescent="0.25">
      <c r="A310" s="11" t="str" cm="1">
        <f t="array" aca="1" ref="A310" ca="1">IFERROR(INDEX(_xlfn.ANCHORARRAY(contracts!$A$6),ROW()-ROW(rtd_data[#Headers]),1),"")</f>
        <v/>
      </c>
      <c r="B3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0" t="str">
        <f ca="1">IF(rtd_data[[#This Row],[Product]]="","",IF(LEN(TRIM(rtd_data[[#This Row],[Product]]))-LEN(SUBSTITUTE(TRIM(rtd_data[[#This Row],[Product]])," ",""))&gt;=2,"Spread","Future"))</f>
        <v/>
      </c>
      <c r="D310" t="str">
        <f ca="1">IFERROR(INDEX(exch_map[Exch],MATCH(rtd_data[[#This Row],[Group]],exch_map[Group],0)),"")</f>
        <v/>
      </c>
      <c r="E310" s="11" t="str" cm="1">
        <f t="array" aca="1" ref="E310" ca="1">IFERROR(INDEX(_xlfn.ANCHORARRAY(contracts!$A$6),ROW()-ROW(rtd_data[#Headers]),2),"")</f>
        <v/>
      </c>
      <c r="F31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0" t="str">
        <f ca="1">IF(rtd_data[[#This Row],[Exch]]="","",IF(rtd_data[[#This Row],[Exch]]="ICE_L","ICE",rtd_data[[#This Row],[Exch]]))</f>
        <v/>
      </c>
      <c r="I310" t="str">
        <f ca="1">IF(rtd_data[[#This Row],[Product]]="","",IFERROR(INDEX(exch_map[TT_Symbol],MATCH(rtd_data[[#This Row],[Group]],exch_map[Group],0))&amp;"",""))</f>
        <v/>
      </c>
      <c r="J310" t="str">
        <f ca="1">IF(rtd_data[[#This Row],[Type]]="Future",PROPER(RIGHT(rtd_data[[#This Row],[Product]],5)),"")</f>
        <v/>
      </c>
    </row>
    <row r="311" spans="1:10" x14ac:dyDescent="0.25">
      <c r="A311" s="11" t="str" cm="1">
        <f t="array" aca="1" ref="A311" ca="1">IFERROR(INDEX(_xlfn.ANCHORARRAY(contracts!$A$6),ROW()-ROW(rtd_data[#Headers]),1),"")</f>
        <v/>
      </c>
      <c r="B3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1" t="str">
        <f ca="1">IF(rtd_data[[#This Row],[Product]]="","",IF(LEN(TRIM(rtd_data[[#This Row],[Product]]))-LEN(SUBSTITUTE(TRIM(rtd_data[[#This Row],[Product]])," ",""))&gt;=2,"Spread","Future"))</f>
        <v/>
      </c>
      <c r="D311" t="str">
        <f ca="1">IFERROR(INDEX(exch_map[Exch],MATCH(rtd_data[[#This Row],[Group]],exch_map[Group],0)),"")</f>
        <v/>
      </c>
      <c r="E311" s="11" t="str" cm="1">
        <f t="array" aca="1" ref="E311" ca="1">IFERROR(INDEX(_xlfn.ANCHORARRAY(contracts!$A$6),ROW()-ROW(rtd_data[#Headers]),2),"")</f>
        <v/>
      </c>
      <c r="F31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1" t="str">
        <f ca="1">IF(rtd_data[[#This Row],[Exch]]="","",IF(rtd_data[[#This Row],[Exch]]="ICE_L","ICE",rtd_data[[#This Row],[Exch]]))</f>
        <v/>
      </c>
      <c r="I311" t="str">
        <f ca="1">IF(rtd_data[[#This Row],[Product]]="","",IFERROR(INDEX(exch_map[TT_Symbol],MATCH(rtd_data[[#This Row],[Group]],exch_map[Group],0))&amp;"",""))</f>
        <v/>
      </c>
      <c r="J311" t="str">
        <f ca="1">IF(rtd_data[[#This Row],[Type]]="Future",PROPER(RIGHT(rtd_data[[#This Row],[Product]],5)),"")</f>
        <v/>
      </c>
    </row>
    <row r="312" spans="1:10" x14ac:dyDescent="0.25">
      <c r="A312" s="11" t="str" cm="1">
        <f t="array" aca="1" ref="A312" ca="1">IFERROR(INDEX(_xlfn.ANCHORARRAY(contracts!$A$6),ROW()-ROW(rtd_data[#Headers]),1),"")</f>
        <v/>
      </c>
      <c r="B3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2" t="str">
        <f ca="1">IF(rtd_data[[#This Row],[Product]]="","",IF(LEN(TRIM(rtd_data[[#This Row],[Product]]))-LEN(SUBSTITUTE(TRIM(rtd_data[[#This Row],[Product]])," ",""))&gt;=2,"Spread","Future"))</f>
        <v/>
      </c>
      <c r="D312" t="str">
        <f ca="1">IFERROR(INDEX(exch_map[Exch],MATCH(rtd_data[[#This Row],[Group]],exch_map[Group],0)),"")</f>
        <v/>
      </c>
      <c r="E312" s="11" t="str" cm="1">
        <f t="array" aca="1" ref="E312" ca="1">IFERROR(INDEX(_xlfn.ANCHORARRAY(contracts!$A$6),ROW()-ROW(rtd_data[#Headers]),2),"")</f>
        <v/>
      </c>
      <c r="F31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2" t="str">
        <f ca="1">IF(rtd_data[[#This Row],[Exch]]="","",IF(rtd_data[[#This Row],[Exch]]="ICE_L","ICE",rtd_data[[#This Row],[Exch]]))</f>
        <v/>
      </c>
      <c r="I312" t="str">
        <f ca="1">IF(rtd_data[[#This Row],[Product]]="","",IFERROR(INDEX(exch_map[TT_Symbol],MATCH(rtd_data[[#This Row],[Group]],exch_map[Group],0))&amp;"",""))</f>
        <v/>
      </c>
      <c r="J312" t="str">
        <f ca="1">IF(rtd_data[[#This Row],[Type]]="Future",PROPER(RIGHT(rtd_data[[#This Row],[Product]],5)),"")</f>
        <v/>
      </c>
    </row>
    <row r="313" spans="1:10" x14ac:dyDescent="0.25">
      <c r="A313" s="11" t="str" cm="1">
        <f t="array" aca="1" ref="A313" ca="1">IFERROR(INDEX(_xlfn.ANCHORARRAY(contracts!$A$6),ROW()-ROW(rtd_data[#Headers]),1),"")</f>
        <v/>
      </c>
      <c r="B3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3" t="str">
        <f ca="1">IF(rtd_data[[#This Row],[Product]]="","",IF(LEN(TRIM(rtd_data[[#This Row],[Product]]))-LEN(SUBSTITUTE(TRIM(rtd_data[[#This Row],[Product]])," ",""))&gt;=2,"Spread","Future"))</f>
        <v/>
      </c>
      <c r="D313" t="str">
        <f ca="1">IFERROR(INDEX(exch_map[Exch],MATCH(rtd_data[[#This Row],[Group]],exch_map[Group],0)),"")</f>
        <v/>
      </c>
      <c r="E313" s="11" t="str" cm="1">
        <f t="array" aca="1" ref="E313" ca="1">IFERROR(INDEX(_xlfn.ANCHORARRAY(contracts!$A$6),ROW()-ROW(rtd_data[#Headers]),2),"")</f>
        <v/>
      </c>
      <c r="F31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3" t="str">
        <f ca="1">IF(rtd_data[[#This Row],[Exch]]="","",IF(rtd_data[[#This Row],[Exch]]="ICE_L","ICE",rtd_data[[#This Row],[Exch]]))</f>
        <v/>
      </c>
      <c r="I313" t="str">
        <f ca="1">IF(rtd_data[[#This Row],[Product]]="","",IFERROR(INDEX(exch_map[TT_Symbol],MATCH(rtd_data[[#This Row],[Group]],exch_map[Group],0))&amp;"",""))</f>
        <v/>
      </c>
      <c r="J313" t="str">
        <f ca="1">IF(rtd_data[[#This Row],[Type]]="Future",PROPER(RIGHT(rtd_data[[#This Row],[Product]],5)),"")</f>
        <v/>
      </c>
    </row>
    <row r="314" spans="1:10" x14ac:dyDescent="0.25">
      <c r="A314" s="11" t="str" cm="1">
        <f t="array" aca="1" ref="A314" ca="1">IFERROR(INDEX(_xlfn.ANCHORARRAY(contracts!$A$6),ROW()-ROW(rtd_data[#Headers]),1),"")</f>
        <v/>
      </c>
      <c r="B3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4" t="str">
        <f ca="1">IF(rtd_data[[#This Row],[Product]]="","",IF(LEN(TRIM(rtd_data[[#This Row],[Product]]))-LEN(SUBSTITUTE(TRIM(rtd_data[[#This Row],[Product]])," ",""))&gt;=2,"Spread","Future"))</f>
        <v/>
      </c>
      <c r="D314" t="str">
        <f ca="1">IFERROR(INDEX(exch_map[Exch],MATCH(rtd_data[[#This Row],[Group]],exch_map[Group],0)),"")</f>
        <v/>
      </c>
      <c r="E314" s="11" t="str" cm="1">
        <f t="array" aca="1" ref="E314" ca="1">IFERROR(INDEX(_xlfn.ANCHORARRAY(contracts!$A$6),ROW()-ROW(rtd_data[#Headers]),2),"")</f>
        <v/>
      </c>
      <c r="F31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4" t="str">
        <f ca="1">IF(rtd_data[[#This Row],[Exch]]="","",IF(rtd_data[[#This Row],[Exch]]="ICE_L","ICE",rtd_data[[#This Row],[Exch]]))</f>
        <v/>
      </c>
      <c r="I314" t="str">
        <f ca="1">IF(rtd_data[[#This Row],[Product]]="","",IFERROR(INDEX(exch_map[TT_Symbol],MATCH(rtd_data[[#This Row],[Group]],exch_map[Group],0))&amp;"",""))</f>
        <v/>
      </c>
      <c r="J314" t="str">
        <f ca="1">IF(rtd_data[[#This Row],[Type]]="Future",PROPER(RIGHT(rtd_data[[#This Row],[Product]],5)),"")</f>
        <v/>
      </c>
    </row>
    <row r="315" spans="1:10" x14ac:dyDescent="0.25">
      <c r="A315" s="11" t="str" cm="1">
        <f t="array" aca="1" ref="A315" ca="1">IFERROR(INDEX(_xlfn.ANCHORARRAY(contracts!$A$6),ROW()-ROW(rtd_data[#Headers]),1),"")</f>
        <v/>
      </c>
      <c r="B3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5" t="str">
        <f ca="1">IF(rtd_data[[#This Row],[Product]]="","",IF(LEN(TRIM(rtd_data[[#This Row],[Product]]))-LEN(SUBSTITUTE(TRIM(rtd_data[[#This Row],[Product]])," ",""))&gt;=2,"Spread","Future"))</f>
        <v/>
      </c>
      <c r="D315" t="str">
        <f ca="1">IFERROR(INDEX(exch_map[Exch],MATCH(rtd_data[[#This Row],[Group]],exch_map[Group],0)),"")</f>
        <v/>
      </c>
      <c r="E315" s="11" t="str" cm="1">
        <f t="array" aca="1" ref="E315" ca="1">IFERROR(INDEX(_xlfn.ANCHORARRAY(contracts!$A$6),ROW()-ROW(rtd_data[#Headers]),2),"")</f>
        <v/>
      </c>
      <c r="F31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5" t="str">
        <f ca="1">IF(rtd_data[[#This Row],[Exch]]="","",IF(rtd_data[[#This Row],[Exch]]="ICE_L","ICE",rtd_data[[#This Row],[Exch]]))</f>
        <v/>
      </c>
      <c r="I315" t="str">
        <f ca="1">IF(rtd_data[[#This Row],[Product]]="","",IFERROR(INDEX(exch_map[TT_Symbol],MATCH(rtd_data[[#This Row],[Group]],exch_map[Group],0))&amp;"",""))</f>
        <v/>
      </c>
      <c r="J315" t="str">
        <f ca="1">IF(rtd_data[[#This Row],[Type]]="Future",PROPER(RIGHT(rtd_data[[#This Row],[Product]],5)),"")</f>
        <v/>
      </c>
    </row>
    <row r="316" spans="1:10" x14ac:dyDescent="0.25">
      <c r="A316" s="11" t="str" cm="1">
        <f t="array" aca="1" ref="A316" ca="1">IFERROR(INDEX(_xlfn.ANCHORARRAY(contracts!$A$6),ROW()-ROW(rtd_data[#Headers]),1),"")</f>
        <v/>
      </c>
      <c r="B3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6" t="str">
        <f ca="1">IF(rtd_data[[#This Row],[Product]]="","",IF(LEN(TRIM(rtd_data[[#This Row],[Product]]))-LEN(SUBSTITUTE(TRIM(rtd_data[[#This Row],[Product]])," ",""))&gt;=2,"Spread","Future"))</f>
        <v/>
      </c>
      <c r="D316" t="str">
        <f ca="1">IFERROR(INDEX(exch_map[Exch],MATCH(rtd_data[[#This Row],[Group]],exch_map[Group],0)),"")</f>
        <v/>
      </c>
      <c r="E316" s="11" t="str" cm="1">
        <f t="array" aca="1" ref="E316" ca="1">IFERROR(INDEX(_xlfn.ANCHORARRAY(contracts!$A$6),ROW()-ROW(rtd_data[#Headers]),2),"")</f>
        <v/>
      </c>
      <c r="F31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6" t="str">
        <f ca="1">IF(rtd_data[[#This Row],[Exch]]="","",IF(rtd_data[[#This Row],[Exch]]="ICE_L","ICE",rtd_data[[#This Row],[Exch]]))</f>
        <v/>
      </c>
      <c r="I316" t="str">
        <f ca="1">IF(rtd_data[[#This Row],[Product]]="","",IFERROR(INDEX(exch_map[TT_Symbol],MATCH(rtd_data[[#This Row],[Group]],exch_map[Group],0))&amp;"",""))</f>
        <v/>
      </c>
      <c r="J316" t="str">
        <f ca="1">IF(rtd_data[[#This Row],[Type]]="Future",PROPER(RIGHT(rtd_data[[#This Row],[Product]],5)),"")</f>
        <v/>
      </c>
    </row>
    <row r="317" spans="1:10" x14ac:dyDescent="0.25">
      <c r="A317" s="11" t="str" cm="1">
        <f t="array" aca="1" ref="A317" ca="1">IFERROR(INDEX(_xlfn.ANCHORARRAY(contracts!$A$6),ROW()-ROW(rtd_data[#Headers]),1),"")</f>
        <v/>
      </c>
      <c r="B3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7" t="str">
        <f ca="1">IF(rtd_data[[#This Row],[Product]]="","",IF(LEN(TRIM(rtd_data[[#This Row],[Product]]))-LEN(SUBSTITUTE(TRIM(rtd_data[[#This Row],[Product]])," ",""))&gt;=2,"Spread","Future"))</f>
        <v/>
      </c>
      <c r="D317" t="str">
        <f ca="1">IFERROR(INDEX(exch_map[Exch],MATCH(rtd_data[[#This Row],[Group]],exch_map[Group],0)),"")</f>
        <v/>
      </c>
      <c r="E317" s="11" t="str" cm="1">
        <f t="array" aca="1" ref="E317" ca="1">IFERROR(INDEX(_xlfn.ANCHORARRAY(contracts!$A$6),ROW()-ROW(rtd_data[#Headers]),2),"")</f>
        <v/>
      </c>
      <c r="F31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7" t="str">
        <f ca="1">IF(rtd_data[[#This Row],[Exch]]="","",IF(rtd_data[[#This Row],[Exch]]="ICE_L","ICE",rtd_data[[#This Row],[Exch]]))</f>
        <v/>
      </c>
      <c r="I317" t="str">
        <f ca="1">IF(rtd_data[[#This Row],[Product]]="","",IFERROR(INDEX(exch_map[TT_Symbol],MATCH(rtd_data[[#This Row],[Group]],exch_map[Group],0))&amp;"",""))</f>
        <v/>
      </c>
      <c r="J317" t="str">
        <f ca="1">IF(rtd_data[[#This Row],[Type]]="Future",PROPER(RIGHT(rtd_data[[#This Row],[Product]],5)),"")</f>
        <v/>
      </c>
    </row>
    <row r="318" spans="1:10" x14ac:dyDescent="0.25">
      <c r="A318" s="11" t="str" cm="1">
        <f t="array" aca="1" ref="A318" ca="1">IFERROR(INDEX(_xlfn.ANCHORARRAY(contracts!$A$6),ROW()-ROW(rtd_data[#Headers]),1),"")</f>
        <v/>
      </c>
      <c r="B3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8" t="str">
        <f ca="1">IF(rtd_data[[#This Row],[Product]]="","",IF(LEN(TRIM(rtd_data[[#This Row],[Product]]))-LEN(SUBSTITUTE(TRIM(rtd_data[[#This Row],[Product]])," ",""))&gt;=2,"Spread","Future"))</f>
        <v/>
      </c>
      <c r="D318" t="str">
        <f ca="1">IFERROR(INDEX(exch_map[Exch],MATCH(rtd_data[[#This Row],[Group]],exch_map[Group],0)),"")</f>
        <v/>
      </c>
      <c r="E318" s="11" t="str" cm="1">
        <f t="array" aca="1" ref="E318" ca="1">IFERROR(INDEX(_xlfn.ANCHORARRAY(contracts!$A$6),ROW()-ROW(rtd_data[#Headers]),2),"")</f>
        <v/>
      </c>
      <c r="F31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8" t="str">
        <f ca="1">IF(rtd_data[[#This Row],[Exch]]="","",IF(rtd_data[[#This Row],[Exch]]="ICE_L","ICE",rtd_data[[#This Row],[Exch]]))</f>
        <v/>
      </c>
      <c r="I318" t="str">
        <f ca="1">IF(rtd_data[[#This Row],[Product]]="","",IFERROR(INDEX(exch_map[TT_Symbol],MATCH(rtd_data[[#This Row],[Group]],exch_map[Group],0))&amp;"",""))</f>
        <v/>
      </c>
      <c r="J318" t="str">
        <f ca="1">IF(rtd_data[[#This Row],[Type]]="Future",PROPER(RIGHT(rtd_data[[#This Row],[Product]],5)),"")</f>
        <v/>
      </c>
    </row>
    <row r="319" spans="1:10" x14ac:dyDescent="0.25">
      <c r="A319" s="11" t="str" cm="1">
        <f t="array" aca="1" ref="A319" ca="1">IFERROR(INDEX(_xlfn.ANCHORARRAY(contracts!$A$6),ROW()-ROW(rtd_data[#Headers]),1),"")</f>
        <v/>
      </c>
      <c r="B3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9" t="str">
        <f ca="1">IF(rtd_data[[#This Row],[Product]]="","",IF(LEN(TRIM(rtd_data[[#This Row],[Product]]))-LEN(SUBSTITUTE(TRIM(rtd_data[[#This Row],[Product]])," ",""))&gt;=2,"Spread","Future"))</f>
        <v/>
      </c>
      <c r="D319" t="str">
        <f ca="1">IFERROR(INDEX(exch_map[Exch],MATCH(rtd_data[[#This Row],[Group]],exch_map[Group],0)),"")</f>
        <v/>
      </c>
      <c r="E319" s="11" t="str" cm="1">
        <f t="array" aca="1" ref="E319" ca="1">IFERROR(INDEX(_xlfn.ANCHORARRAY(contracts!$A$6),ROW()-ROW(rtd_data[#Headers]),2),"")</f>
        <v/>
      </c>
      <c r="F31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9" t="str">
        <f ca="1">IF(rtd_data[[#This Row],[Exch]]="","",IF(rtd_data[[#This Row],[Exch]]="ICE_L","ICE",rtd_data[[#This Row],[Exch]]))</f>
        <v/>
      </c>
      <c r="I319" t="str">
        <f ca="1">IF(rtd_data[[#This Row],[Product]]="","",IFERROR(INDEX(exch_map[TT_Symbol],MATCH(rtd_data[[#This Row],[Group]],exch_map[Group],0))&amp;"",""))</f>
        <v/>
      </c>
      <c r="J319" t="str">
        <f ca="1">IF(rtd_data[[#This Row],[Type]]="Future",PROPER(RIGHT(rtd_data[[#This Row],[Product]],5)),"")</f>
        <v/>
      </c>
    </row>
    <row r="320" spans="1:10" x14ac:dyDescent="0.25">
      <c r="A320" s="11" t="str" cm="1">
        <f t="array" aca="1" ref="A320" ca="1">IFERROR(INDEX(_xlfn.ANCHORARRAY(contracts!$A$6),ROW()-ROW(rtd_data[#Headers]),1),"")</f>
        <v/>
      </c>
      <c r="B3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0" t="str">
        <f ca="1">IF(rtd_data[[#This Row],[Product]]="","",IF(LEN(TRIM(rtd_data[[#This Row],[Product]]))-LEN(SUBSTITUTE(TRIM(rtd_data[[#This Row],[Product]])," ",""))&gt;=2,"Spread","Future"))</f>
        <v/>
      </c>
      <c r="D320" t="str">
        <f ca="1">IFERROR(INDEX(exch_map[Exch],MATCH(rtd_data[[#This Row],[Group]],exch_map[Group],0)),"")</f>
        <v/>
      </c>
      <c r="E320" s="11" t="str" cm="1">
        <f t="array" aca="1" ref="E320" ca="1">IFERROR(INDEX(_xlfn.ANCHORARRAY(contracts!$A$6),ROW()-ROW(rtd_data[#Headers]),2),"")</f>
        <v/>
      </c>
      <c r="F32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0" t="str">
        <f ca="1">IF(rtd_data[[#This Row],[Exch]]="","",IF(rtd_data[[#This Row],[Exch]]="ICE_L","ICE",rtd_data[[#This Row],[Exch]]))</f>
        <v/>
      </c>
      <c r="I320" t="str">
        <f ca="1">IF(rtd_data[[#This Row],[Product]]="","",IFERROR(INDEX(exch_map[TT_Symbol],MATCH(rtd_data[[#This Row],[Group]],exch_map[Group],0))&amp;"",""))</f>
        <v/>
      </c>
      <c r="J320" t="str">
        <f ca="1">IF(rtd_data[[#This Row],[Type]]="Future",PROPER(RIGHT(rtd_data[[#This Row],[Product]],5)),"")</f>
        <v/>
      </c>
    </row>
    <row r="321" spans="1:10" x14ac:dyDescent="0.25">
      <c r="A321" s="11" t="str" cm="1">
        <f t="array" aca="1" ref="A321" ca="1">IFERROR(INDEX(_xlfn.ANCHORARRAY(contracts!$A$6),ROW()-ROW(rtd_data[#Headers]),1),"")</f>
        <v/>
      </c>
      <c r="B3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1" t="str">
        <f ca="1">IF(rtd_data[[#This Row],[Product]]="","",IF(LEN(TRIM(rtd_data[[#This Row],[Product]]))-LEN(SUBSTITUTE(TRIM(rtd_data[[#This Row],[Product]])," ",""))&gt;=2,"Spread","Future"))</f>
        <v/>
      </c>
      <c r="D321" t="str">
        <f ca="1">IFERROR(INDEX(exch_map[Exch],MATCH(rtd_data[[#This Row],[Group]],exch_map[Group],0)),"")</f>
        <v/>
      </c>
      <c r="E321" s="11" t="str" cm="1">
        <f t="array" aca="1" ref="E321" ca="1">IFERROR(INDEX(_xlfn.ANCHORARRAY(contracts!$A$6),ROW()-ROW(rtd_data[#Headers]),2),"")</f>
        <v/>
      </c>
      <c r="F32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1" t="str">
        <f ca="1">IF(rtd_data[[#This Row],[Exch]]="","",IF(rtd_data[[#This Row],[Exch]]="ICE_L","ICE",rtd_data[[#This Row],[Exch]]))</f>
        <v/>
      </c>
      <c r="I321" t="str">
        <f ca="1">IF(rtd_data[[#This Row],[Product]]="","",IFERROR(INDEX(exch_map[TT_Symbol],MATCH(rtd_data[[#This Row],[Group]],exch_map[Group],0))&amp;"",""))</f>
        <v/>
      </c>
      <c r="J321" t="str">
        <f ca="1">IF(rtd_data[[#This Row],[Type]]="Future",PROPER(RIGHT(rtd_data[[#This Row],[Product]],5)),"")</f>
        <v/>
      </c>
    </row>
    <row r="322" spans="1:10" x14ac:dyDescent="0.25">
      <c r="A322" s="11" t="str" cm="1">
        <f t="array" aca="1" ref="A322" ca="1">IFERROR(INDEX(_xlfn.ANCHORARRAY(contracts!$A$6),ROW()-ROW(rtd_data[#Headers]),1),"")</f>
        <v/>
      </c>
      <c r="B3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2" t="str">
        <f ca="1">IF(rtd_data[[#This Row],[Product]]="","",IF(LEN(TRIM(rtd_data[[#This Row],[Product]]))-LEN(SUBSTITUTE(TRIM(rtd_data[[#This Row],[Product]])," ",""))&gt;=2,"Spread","Future"))</f>
        <v/>
      </c>
      <c r="D322" t="str">
        <f ca="1">IFERROR(INDEX(exch_map[Exch],MATCH(rtd_data[[#This Row],[Group]],exch_map[Group],0)),"")</f>
        <v/>
      </c>
      <c r="E322" s="11" t="str" cm="1">
        <f t="array" aca="1" ref="E322" ca="1">IFERROR(INDEX(_xlfn.ANCHORARRAY(contracts!$A$6),ROW()-ROW(rtd_data[#Headers]),2),"")</f>
        <v/>
      </c>
      <c r="F32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2" t="str">
        <f ca="1">IF(rtd_data[[#This Row],[Exch]]="","",IF(rtd_data[[#This Row],[Exch]]="ICE_L","ICE",rtd_data[[#This Row],[Exch]]))</f>
        <v/>
      </c>
      <c r="I322" t="str">
        <f ca="1">IF(rtd_data[[#This Row],[Product]]="","",IFERROR(INDEX(exch_map[TT_Symbol],MATCH(rtd_data[[#This Row],[Group]],exch_map[Group],0))&amp;"",""))</f>
        <v/>
      </c>
      <c r="J322" t="str">
        <f ca="1">IF(rtd_data[[#This Row],[Type]]="Future",PROPER(RIGHT(rtd_data[[#This Row],[Product]],5)),"")</f>
        <v/>
      </c>
    </row>
    <row r="323" spans="1:10" x14ac:dyDescent="0.25">
      <c r="A323" s="11" t="str" cm="1">
        <f t="array" aca="1" ref="A323" ca="1">IFERROR(INDEX(_xlfn.ANCHORARRAY(contracts!$A$6),ROW()-ROW(rtd_data[#Headers]),1),"")</f>
        <v/>
      </c>
      <c r="B3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3" t="str">
        <f ca="1">IF(rtd_data[[#This Row],[Product]]="","",IF(LEN(TRIM(rtd_data[[#This Row],[Product]]))-LEN(SUBSTITUTE(TRIM(rtd_data[[#This Row],[Product]])," ",""))&gt;=2,"Spread","Future"))</f>
        <v/>
      </c>
      <c r="D323" t="str">
        <f ca="1">IFERROR(INDEX(exch_map[Exch],MATCH(rtd_data[[#This Row],[Group]],exch_map[Group],0)),"")</f>
        <v/>
      </c>
      <c r="E323" s="11" t="str" cm="1">
        <f t="array" aca="1" ref="E323" ca="1">IFERROR(INDEX(_xlfn.ANCHORARRAY(contracts!$A$6),ROW()-ROW(rtd_data[#Headers]),2),"")</f>
        <v/>
      </c>
      <c r="F32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3" t="str">
        <f ca="1">IF(rtd_data[[#This Row],[Exch]]="","",IF(rtd_data[[#This Row],[Exch]]="ICE_L","ICE",rtd_data[[#This Row],[Exch]]))</f>
        <v/>
      </c>
      <c r="I323" t="str">
        <f ca="1">IF(rtd_data[[#This Row],[Product]]="","",IFERROR(INDEX(exch_map[TT_Symbol],MATCH(rtd_data[[#This Row],[Group]],exch_map[Group],0))&amp;"",""))</f>
        <v/>
      </c>
      <c r="J323" t="str">
        <f ca="1">IF(rtd_data[[#This Row],[Type]]="Future",PROPER(RIGHT(rtd_data[[#This Row],[Product]],5)),"")</f>
        <v/>
      </c>
    </row>
    <row r="324" spans="1:10" x14ac:dyDescent="0.25">
      <c r="A324" s="11" t="str" cm="1">
        <f t="array" aca="1" ref="A324" ca="1">IFERROR(INDEX(_xlfn.ANCHORARRAY(contracts!$A$6),ROW()-ROW(rtd_data[#Headers]),1),"")</f>
        <v/>
      </c>
      <c r="B3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4" t="str">
        <f ca="1">IF(rtd_data[[#This Row],[Product]]="","",IF(LEN(TRIM(rtd_data[[#This Row],[Product]]))-LEN(SUBSTITUTE(TRIM(rtd_data[[#This Row],[Product]])," ",""))&gt;=2,"Spread","Future"))</f>
        <v/>
      </c>
      <c r="D324" t="str">
        <f ca="1">IFERROR(INDEX(exch_map[Exch],MATCH(rtd_data[[#This Row],[Group]],exch_map[Group],0)),"")</f>
        <v/>
      </c>
      <c r="E324" s="11" t="str" cm="1">
        <f t="array" aca="1" ref="E324" ca="1">IFERROR(INDEX(_xlfn.ANCHORARRAY(contracts!$A$6),ROW()-ROW(rtd_data[#Headers]),2),"")</f>
        <v/>
      </c>
      <c r="F32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4" t="str">
        <f ca="1">IF(rtd_data[[#This Row],[Exch]]="","",IF(rtd_data[[#This Row],[Exch]]="ICE_L","ICE",rtd_data[[#This Row],[Exch]]))</f>
        <v/>
      </c>
      <c r="I324" t="str">
        <f ca="1">IF(rtd_data[[#This Row],[Product]]="","",IFERROR(INDEX(exch_map[TT_Symbol],MATCH(rtd_data[[#This Row],[Group]],exch_map[Group],0))&amp;"",""))</f>
        <v/>
      </c>
      <c r="J324" t="str">
        <f ca="1">IF(rtd_data[[#This Row],[Type]]="Future",PROPER(RIGHT(rtd_data[[#This Row],[Product]],5)),"")</f>
        <v/>
      </c>
    </row>
    <row r="325" spans="1:10" x14ac:dyDescent="0.25">
      <c r="A325" s="11" t="str" cm="1">
        <f t="array" aca="1" ref="A325" ca="1">IFERROR(INDEX(_xlfn.ANCHORARRAY(contracts!$A$6),ROW()-ROW(rtd_data[#Headers]),1),"")</f>
        <v/>
      </c>
      <c r="B3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5" t="str">
        <f ca="1">IF(rtd_data[[#This Row],[Product]]="","",IF(LEN(TRIM(rtd_data[[#This Row],[Product]]))-LEN(SUBSTITUTE(TRIM(rtd_data[[#This Row],[Product]])," ",""))&gt;=2,"Spread","Future"))</f>
        <v/>
      </c>
      <c r="D325" t="str">
        <f ca="1">IFERROR(INDEX(exch_map[Exch],MATCH(rtd_data[[#This Row],[Group]],exch_map[Group],0)),"")</f>
        <v/>
      </c>
      <c r="E325" s="11" t="str" cm="1">
        <f t="array" aca="1" ref="E325" ca="1">IFERROR(INDEX(_xlfn.ANCHORARRAY(contracts!$A$6),ROW()-ROW(rtd_data[#Headers]),2),"")</f>
        <v/>
      </c>
      <c r="F32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5" t="str">
        <f ca="1">IF(rtd_data[[#This Row],[Exch]]="","",IF(rtd_data[[#This Row],[Exch]]="ICE_L","ICE",rtd_data[[#This Row],[Exch]]))</f>
        <v/>
      </c>
      <c r="I325" t="str">
        <f ca="1">IF(rtd_data[[#This Row],[Product]]="","",IFERROR(INDEX(exch_map[TT_Symbol],MATCH(rtd_data[[#This Row],[Group]],exch_map[Group],0))&amp;"",""))</f>
        <v/>
      </c>
      <c r="J325" t="str">
        <f ca="1">IF(rtd_data[[#This Row],[Type]]="Future",PROPER(RIGHT(rtd_data[[#This Row],[Product]],5)),"")</f>
        <v/>
      </c>
    </row>
    <row r="326" spans="1:10" x14ac:dyDescent="0.25">
      <c r="A326" s="11" t="str" cm="1">
        <f t="array" aca="1" ref="A326" ca="1">IFERROR(INDEX(_xlfn.ANCHORARRAY(contracts!$A$6),ROW()-ROW(rtd_data[#Headers]),1),"")</f>
        <v/>
      </c>
      <c r="B3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6" t="str">
        <f ca="1">IF(rtd_data[[#This Row],[Product]]="","",IF(LEN(TRIM(rtd_data[[#This Row],[Product]]))-LEN(SUBSTITUTE(TRIM(rtd_data[[#This Row],[Product]])," ",""))&gt;=2,"Spread","Future"))</f>
        <v/>
      </c>
      <c r="D326" t="str">
        <f ca="1">IFERROR(INDEX(exch_map[Exch],MATCH(rtd_data[[#This Row],[Group]],exch_map[Group],0)),"")</f>
        <v/>
      </c>
      <c r="E326" s="11" t="str" cm="1">
        <f t="array" aca="1" ref="E326" ca="1">IFERROR(INDEX(_xlfn.ANCHORARRAY(contracts!$A$6),ROW()-ROW(rtd_data[#Headers]),2),"")</f>
        <v/>
      </c>
      <c r="F32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6" t="str">
        <f ca="1">IF(rtd_data[[#This Row],[Exch]]="","",IF(rtd_data[[#This Row],[Exch]]="ICE_L","ICE",rtd_data[[#This Row],[Exch]]))</f>
        <v/>
      </c>
      <c r="I326" t="str">
        <f ca="1">IF(rtd_data[[#This Row],[Product]]="","",IFERROR(INDEX(exch_map[TT_Symbol],MATCH(rtd_data[[#This Row],[Group]],exch_map[Group],0))&amp;"",""))</f>
        <v/>
      </c>
      <c r="J326" t="str">
        <f ca="1">IF(rtd_data[[#This Row],[Type]]="Future",PROPER(RIGHT(rtd_data[[#This Row],[Product]],5)),"")</f>
        <v/>
      </c>
    </row>
    <row r="327" spans="1:10" x14ac:dyDescent="0.25">
      <c r="A327" s="11" t="str" cm="1">
        <f t="array" aca="1" ref="A327" ca="1">IFERROR(INDEX(_xlfn.ANCHORARRAY(contracts!$A$6),ROW()-ROW(rtd_data[#Headers]),1),"")</f>
        <v/>
      </c>
      <c r="B3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7" t="str">
        <f ca="1">IF(rtd_data[[#This Row],[Product]]="","",IF(LEN(TRIM(rtd_data[[#This Row],[Product]]))-LEN(SUBSTITUTE(TRIM(rtd_data[[#This Row],[Product]])," ",""))&gt;=2,"Spread","Future"))</f>
        <v/>
      </c>
      <c r="D327" t="str">
        <f ca="1">IFERROR(INDEX(exch_map[Exch],MATCH(rtd_data[[#This Row],[Group]],exch_map[Group],0)),"")</f>
        <v/>
      </c>
      <c r="E327" s="11" t="str" cm="1">
        <f t="array" aca="1" ref="E327" ca="1">IFERROR(INDEX(_xlfn.ANCHORARRAY(contracts!$A$6),ROW()-ROW(rtd_data[#Headers]),2),"")</f>
        <v/>
      </c>
      <c r="F32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7" t="str">
        <f ca="1">IF(rtd_data[[#This Row],[Exch]]="","",IF(rtd_data[[#This Row],[Exch]]="ICE_L","ICE",rtd_data[[#This Row],[Exch]]))</f>
        <v/>
      </c>
      <c r="I327" t="str">
        <f ca="1">IF(rtd_data[[#This Row],[Product]]="","",IFERROR(INDEX(exch_map[TT_Symbol],MATCH(rtd_data[[#This Row],[Group]],exch_map[Group],0))&amp;"",""))</f>
        <v/>
      </c>
      <c r="J327" t="str">
        <f ca="1">IF(rtd_data[[#This Row],[Type]]="Future",PROPER(RIGHT(rtd_data[[#This Row],[Product]],5)),"")</f>
        <v/>
      </c>
    </row>
    <row r="328" spans="1:10" x14ac:dyDescent="0.25">
      <c r="A328" s="11" t="str" cm="1">
        <f t="array" aca="1" ref="A328" ca="1">IFERROR(INDEX(_xlfn.ANCHORARRAY(contracts!$A$6),ROW()-ROW(rtd_data[#Headers]),1),"")</f>
        <v/>
      </c>
      <c r="B3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8" t="str">
        <f ca="1">IF(rtd_data[[#This Row],[Product]]="","",IF(LEN(TRIM(rtd_data[[#This Row],[Product]]))-LEN(SUBSTITUTE(TRIM(rtd_data[[#This Row],[Product]])," ",""))&gt;=2,"Spread","Future"))</f>
        <v/>
      </c>
      <c r="D328" t="str">
        <f ca="1">IFERROR(INDEX(exch_map[Exch],MATCH(rtd_data[[#This Row],[Group]],exch_map[Group],0)),"")</f>
        <v/>
      </c>
      <c r="E328" s="11" t="str" cm="1">
        <f t="array" aca="1" ref="E328" ca="1">IFERROR(INDEX(_xlfn.ANCHORARRAY(contracts!$A$6),ROW()-ROW(rtd_data[#Headers]),2),"")</f>
        <v/>
      </c>
      <c r="F32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8" t="str">
        <f ca="1">IF(rtd_data[[#This Row],[Exch]]="","",IF(rtd_data[[#This Row],[Exch]]="ICE_L","ICE",rtd_data[[#This Row],[Exch]]))</f>
        <v/>
      </c>
      <c r="I328" t="str">
        <f ca="1">IF(rtd_data[[#This Row],[Product]]="","",IFERROR(INDEX(exch_map[TT_Symbol],MATCH(rtd_data[[#This Row],[Group]],exch_map[Group],0))&amp;"",""))</f>
        <v/>
      </c>
      <c r="J328" t="str">
        <f ca="1">IF(rtd_data[[#This Row],[Type]]="Future",PROPER(RIGHT(rtd_data[[#This Row],[Product]],5)),"")</f>
        <v/>
      </c>
    </row>
    <row r="329" spans="1:10" x14ac:dyDescent="0.25">
      <c r="A329" s="11" t="str" cm="1">
        <f t="array" aca="1" ref="A329" ca="1">IFERROR(INDEX(_xlfn.ANCHORARRAY(contracts!$A$6),ROW()-ROW(rtd_data[#Headers]),1),"")</f>
        <v/>
      </c>
      <c r="B3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9" t="str">
        <f ca="1">IF(rtd_data[[#This Row],[Product]]="","",IF(LEN(TRIM(rtd_data[[#This Row],[Product]]))-LEN(SUBSTITUTE(TRIM(rtd_data[[#This Row],[Product]])," ",""))&gt;=2,"Spread","Future"))</f>
        <v/>
      </c>
      <c r="D329" t="str">
        <f ca="1">IFERROR(INDEX(exch_map[Exch],MATCH(rtd_data[[#This Row],[Group]],exch_map[Group],0)),"")</f>
        <v/>
      </c>
      <c r="E329" s="11" t="str" cm="1">
        <f t="array" aca="1" ref="E329" ca="1">IFERROR(INDEX(_xlfn.ANCHORARRAY(contracts!$A$6),ROW()-ROW(rtd_data[#Headers]),2),"")</f>
        <v/>
      </c>
      <c r="F32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9" t="str">
        <f ca="1">IF(rtd_data[[#This Row],[Exch]]="","",IF(rtd_data[[#This Row],[Exch]]="ICE_L","ICE",rtd_data[[#This Row],[Exch]]))</f>
        <v/>
      </c>
      <c r="I329" t="str">
        <f ca="1">IF(rtd_data[[#This Row],[Product]]="","",IFERROR(INDEX(exch_map[TT_Symbol],MATCH(rtd_data[[#This Row],[Group]],exch_map[Group],0))&amp;"",""))</f>
        <v/>
      </c>
      <c r="J329" t="str">
        <f ca="1">IF(rtd_data[[#This Row],[Type]]="Future",PROPER(RIGHT(rtd_data[[#This Row],[Product]],5)),"")</f>
        <v/>
      </c>
    </row>
    <row r="330" spans="1:10" x14ac:dyDescent="0.25">
      <c r="A330" s="11" t="str" cm="1">
        <f t="array" aca="1" ref="A330" ca="1">IFERROR(INDEX(_xlfn.ANCHORARRAY(contracts!$A$6),ROW()-ROW(rtd_data[#Headers]),1),"")</f>
        <v/>
      </c>
      <c r="B3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0" t="str">
        <f ca="1">IF(rtd_data[[#This Row],[Product]]="","",IF(LEN(TRIM(rtd_data[[#This Row],[Product]]))-LEN(SUBSTITUTE(TRIM(rtd_data[[#This Row],[Product]])," ",""))&gt;=2,"Spread","Future"))</f>
        <v/>
      </c>
      <c r="D330" t="str">
        <f ca="1">IFERROR(INDEX(exch_map[Exch],MATCH(rtd_data[[#This Row],[Group]],exch_map[Group],0)),"")</f>
        <v/>
      </c>
      <c r="E330" s="11" t="str" cm="1">
        <f t="array" aca="1" ref="E330" ca="1">IFERROR(INDEX(_xlfn.ANCHORARRAY(contracts!$A$6),ROW()-ROW(rtd_data[#Headers]),2),"")</f>
        <v/>
      </c>
      <c r="F33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0" t="str">
        <f ca="1">IF(rtd_data[[#This Row],[Exch]]="","",IF(rtd_data[[#This Row],[Exch]]="ICE_L","ICE",rtd_data[[#This Row],[Exch]]))</f>
        <v/>
      </c>
      <c r="I330" t="str">
        <f ca="1">IF(rtd_data[[#This Row],[Product]]="","",IFERROR(INDEX(exch_map[TT_Symbol],MATCH(rtd_data[[#This Row],[Group]],exch_map[Group],0))&amp;"",""))</f>
        <v/>
      </c>
      <c r="J330" t="str">
        <f ca="1">IF(rtd_data[[#This Row],[Type]]="Future",PROPER(RIGHT(rtd_data[[#This Row],[Product]],5)),"")</f>
        <v/>
      </c>
    </row>
    <row r="331" spans="1:10" x14ac:dyDescent="0.25">
      <c r="A331" s="11" t="str" cm="1">
        <f t="array" aca="1" ref="A331" ca="1">IFERROR(INDEX(_xlfn.ANCHORARRAY(contracts!$A$6),ROW()-ROW(rtd_data[#Headers]),1),"")</f>
        <v/>
      </c>
      <c r="B3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1" t="str">
        <f ca="1">IF(rtd_data[[#This Row],[Product]]="","",IF(LEN(TRIM(rtd_data[[#This Row],[Product]]))-LEN(SUBSTITUTE(TRIM(rtd_data[[#This Row],[Product]])," ",""))&gt;=2,"Spread","Future"))</f>
        <v/>
      </c>
      <c r="D331" t="str">
        <f ca="1">IFERROR(INDEX(exch_map[Exch],MATCH(rtd_data[[#This Row],[Group]],exch_map[Group],0)),"")</f>
        <v/>
      </c>
      <c r="E331" s="11" t="str" cm="1">
        <f t="array" aca="1" ref="E331" ca="1">IFERROR(INDEX(_xlfn.ANCHORARRAY(contracts!$A$6),ROW()-ROW(rtd_data[#Headers]),2),"")</f>
        <v/>
      </c>
      <c r="F33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1" t="str">
        <f ca="1">IF(rtd_data[[#This Row],[Exch]]="","",IF(rtd_data[[#This Row],[Exch]]="ICE_L","ICE",rtd_data[[#This Row],[Exch]]))</f>
        <v/>
      </c>
      <c r="I331" t="str">
        <f ca="1">IF(rtd_data[[#This Row],[Product]]="","",IFERROR(INDEX(exch_map[TT_Symbol],MATCH(rtd_data[[#This Row],[Group]],exch_map[Group],0))&amp;"",""))</f>
        <v/>
      </c>
      <c r="J331" t="str">
        <f ca="1">IF(rtd_data[[#This Row],[Type]]="Future",PROPER(RIGHT(rtd_data[[#This Row],[Product]],5)),"")</f>
        <v/>
      </c>
    </row>
    <row r="332" spans="1:10" x14ac:dyDescent="0.25">
      <c r="A332" s="11" t="str" cm="1">
        <f t="array" aca="1" ref="A332" ca="1">IFERROR(INDEX(_xlfn.ANCHORARRAY(contracts!$A$6),ROW()-ROW(rtd_data[#Headers]),1),"")</f>
        <v/>
      </c>
      <c r="B3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2" t="str">
        <f ca="1">IF(rtd_data[[#This Row],[Product]]="","",IF(LEN(TRIM(rtd_data[[#This Row],[Product]]))-LEN(SUBSTITUTE(TRIM(rtd_data[[#This Row],[Product]])," ",""))&gt;=2,"Spread","Future"))</f>
        <v/>
      </c>
      <c r="D332" t="str">
        <f ca="1">IFERROR(INDEX(exch_map[Exch],MATCH(rtd_data[[#This Row],[Group]],exch_map[Group],0)),"")</f>
        <v/>
      </c>
      <c r="E332" s="11" t="str" cm="1">
        <f t="array" aca="1" ref="E332" ca="1">IFERROR(INDEX(_xlfn.ANCHORARRAY(contracts!$A$6),ROW()-ROW(rtd_data[#Headers]),2),"")</f>
        <v/>
      </c>
      <c r="F33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2" t="str">
        <f ca="1">IF(rtd_data[[#This Row],[Exch]]="","",IF(rtd_data[[#This Row],[Exch]]="ICE_L","ICE",rtd_data[[#This Row],[Exch]]))</f>
        <v/>
      </c>
      <c r="I332" t="str">
        <f ca="1">IF(rtd_data[[#This Row],[Product]]="","",IFERROR(INDEX(exch_map[TT_Symbol],MATCH(rtd_data[[#This Row],[Group]],exch_map[Group],0))&amp;"",""))</f>
        <v/>
      </c>
      <c r="J332" t="str">
        <f ca="1">IF(rtd_data[[#This Row],[Type]]="Future",PROPER(RIGHT(rtd_data[[#This Row],[Product]],5)),"")</f>
        <v/>
      </c>
    </row>
    <row r="333" spans="1:10" x14ac:dyDescent="0.25">
      <c r="A333" s="11" t="str" cm="1">
        <f t="array" aca="1" ref="A333" ca="1">IFERROR(INDEX(_xlfn.ANCHORARRAY(contracts!$A$6),ROW()-ROW(rtd_data[#Headers]),1),"")</f>
        <v/>
      </c>
      <c r="B3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3" t="str">
        <f ca="1">IF(rtd_data[[#This Row],[Product]]="","",IF(LEN(TRIM(rtd_data[[#This Row],[Product]]))-LEN(SUBSTITUTE(TRIM(rtd_data[[#This Row],[Product]])," ",""))&gt;=2,"Spread","Future"))</f>
        <v/>
      </c>
      <c r="D333" t="str">
        <f ca="1">IFERROR(INDEX(exch_map[Exch],MATCH(rtd_data[[#This Row],[Group]],exch_map[Group],0)),"")</f>
        <v/>
      </c>
      <c r="E333" s="11" t="str" cm="1">
        <f t="array" aca="1" ref="E333" ca="1">IFERROR(INDEX(_xlfn.ANCHORARRAY(contracts!$A$6),ROW()-ROW(rtd_data[#Headers]),2),"")</f>
        <v/>
      </c>
      <c r="F33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3" t="str">
        <f ca="1">IF(rtd_data[[#This Row],[Exch]]="","",IF(rtd_data[[#This Row],[Exch]]="ICE_L","ICE",rtd_data[[#This Row],[Exch]]))</f>
        <v/>
      </c>
      <c r="I333" t="str">
        <f ca="1">IF(rtd_data[[#This Row],[Product]]="","",IFERROR(INDEX(exch_map[TT_Symbol],MATCH(rtd_data[[#This Row],[Group]],exch_map[Group],0))&amp;"",""))</f>
        <v/>
      </c>
      <c r="J333" t="str">
        <f ca="1">IF(rtd_data[[#This Row],[Type]]="Future",PROPER(RIGHT(rtd_data[[#This Row],[Product]],5)),"")</f>
        <v/>
      </c>
    </row>
    <row r="334" spans="1:10" x14ac:dyDescent="0.25">
      <c r="A334" s="11" t="str" cm="1">
        <f t="array" aca="1" ref="A334" ca="1">IFERROR(INDEX(_xlfn.ANCHORARRAY(contracts!$A$6),ROW()-ROW(rtd_data[#Headers]),1),"")</f>
        <v/>
      </c>
      <c r="B3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4" t="str">
        <f ca="1">IF(rtd_data[[#This Row],[Product]]="","",IF(LEN(TRIM(rtd_data[[#This Row],[Product]]))-LEN(SUBSTITUTE(TRIM(rtd_data[[#This Row],[Product]])," ",""))&gt;=2,"Spread","Future"))</f>
        <v/>
      </c>
      <c r="D334" t="str">
        <f ca="1">IFERROR(INDEX(exch_map[Exch],MATCH(rtd_data[[#This Row],[Group]],exch_map[Group],0)),"")</f>
        <v/>
      </c>
      <c r="E334" s="11" t="str" cm="1">
        <f t="array" aca="1" ref="E334" ca="1">IFERROR(INDEX(_xlfn.ANCHORARRAY(contracts!$A$6),ROW()-ROW(rtd_data[#Headers]),2),"")</f>
        <v/>
      </c>
      <c r="F33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4" t="str">
        <f ca="1">IF(rtd_data[[#This Row],[Exch]]="","",IF(rtd_data[[#This Row],[Exch]]="ICE_L","ICE",rtd_data[[#This Row],[Exch]]))</f>
        <v/>
      </c>
      <c r="I334" t="str">
        <f ca="1">IF(rtd_data[[#This Row],[Product]]="","",IFERROR(INDEX(exch_map[TT_Symbol],MATCH(rtd_data[[#This Row],[Group]],exch_map[Group],0))&amp;"",""))</f>
        <v/>
      </c>
      <c r="J334" t="str">
        <f ca="1">IF(rtd_data[[#This Row],[Type]]="Future",PROPER(RIGHT(rtd_data[[#This Row],[Product]],5)),"")</f>
        <v/>
      </c>
    </row>
    <row r="335" spans="1:10" x14ac:dyDescent="0.25">
      <c r="A335" s="11" t="str" cm="1">
        <f t="array" aca="1" ref="A335" ca="1">IFERROR(INDEX(_xlfn.ANCHORARRAY(contracts!$A$6),ROW()-ROW(rtd_data[#Headers]),1),"")</f>
        <v/>
      </c>
      <c r="B3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5" t="str">
        <f ca="1">IF(rtd_data[[#This Row],[Product]]="","",IF(LEN(TRIM(rtd_data[[#This Row],[Product]]))-LEN(SUBSTITUTE(TRIM(rtd_data[[#This Row],[Product]])," ",""))&gt;=2,"Spread","Future"))</f>
        <v/>
      </c>
      <c r="D335" t="str">
        <f ca="1">IFERROR(INDEX(exch_map[Exch],MATCH(rtd_data[[#This Row],[Group]],exch_map[Group],0)),"")</f>
        <v/>
      </c>
      <c r="E335" s="11" t="str" cm="1">
        <f t="array" aca="1" ref="E335" ca="1">IFERROR(INDEX(_xlfn.ANCHORARRAY(contracts!$A$6),ROW()-ROW(rtd_data[#Headers]),2),"")</f>
        <v/>
      </c>
      <c r="F33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5" t="str">
        <f ca="1">IF(rtd_data[[#This Row],[Exch]]="","",IF(rtd_data[[#This Row],[Exch]]="ICE_L","ICE",rtd_data[[#This Row],[Exch]]))</f>
        <v/>
      </c>
      <c r="I335" t="str">
        <f ca="1">IF(rtd_data[[#This Row],[Product]]="","",IFERROR(INDEX(exch_map[TT_Symbol],MATCH(rtd_data[[#This Row],[Group]],exch_map[Group],0))&amp;"",""))</f>
        <v/>
      </c>
      <c r="J335" t="str">
        <f ca="1">IF(rtd_data[[#This Row],[Type]]="Future",PROPER(RIGHT(rtd_data[[#This Row],[Product]],5)),"")</f>
        <v/>
      </c>
    </row>
    <row r="336" spans="1:10" x14ac:dyDescent="0.25">
      <c r="A336" s="11" t="str" cm="1">
        <f t="array" aca="1" ref="A336" ca="1">IFERROR(INDEX(_xlfn.ANCHORARRAY(contracts!$A$6),ROW()-ROW(rtd_data[#Headers]),1),"")</f>
        <v/>
      </c>
      <c r="B3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6" t="str">
        <f ca="1">IF(rtd_data[[#This Row],[Product]]="","",IF(LEN(TRIM(rtd_data[[#This Row],[Product]]))-LEN(SUBSTITUTE(TRIM(rtd_data[[#This Row],[Product]])," ",""))&gt;=2,"Spread","Future"))</f>
        <v/>
      </c>
      <c r="D336" t="str">
        <f ca="1">IFERROR(INDEX(exch_map[Exch],MATCH(rtd_data[[#This Row],[Group]],exch_map[Group],0)),"")</f>
        <v/>
      </c>
      <c r="E336" s="11" t="str" cm="1">
        <f t="array" aca="1" ref="E336" ca="1">IFERROR(INDEX(_xlfn.ANCHORARRAY(contracts!$A$6),ROW()-ROW(rtd_data[#Headers]),2),"")</f>
        <v/>
      </c>
      <c r="F33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6" t="str">
        <f ca="1">IF(rtd_data[[#This Row],[Exch]]="","",IF(rtd_data[[#This Row],[Exch]]="ICE_L","ICE",rtd_data[[#This Row],[Exch]]))</f>
        <v/>
      </c>
      <c r="I336" t="str">
        <f ca="1">IF(rtd_data[[#This Row],[Product]]="","",IFERROR(INDEX(exch_map[TT_Symbol],MATCH(rtd_data[[#This Row],[Group]],exch_map[Group],0))&amp;"",""))</f>
        <v/>
      </c>
      <c r="J336" t="str">
        <f ca="1">IF(rtd_data[[#This Row],[Type]]="Future",PROPER(RIGHT(rtd_data[[#This Row],[Product]],5)),"")</f>
        <v/>
      </c>
    </row>
    <row r="337" spans="1:10" x14ac:dyDescent="0.25">
      <c r="A337" s="11" t="str" cm="1">
        <f t="array" aca="1" ref="A337" ca="1">IFERROR(INDEX(_xlfn.ANCHORARRAY(contracts!$A$6),ROW()-ROW(rtd_data[#Headers]),1),"")</f>
        <v/>
      </c>
      <c r="B3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7" t="str">
        <f ca="1">IF(rtd_data[[#This Row],[Product]]="","",IF(LEN(TRIM(rtd_data[[#This Row],[Product]]))-LEN(SUBSTITUTE(TRIM(rtd_data[[#This Row],[Product]])," ",""))&gt;=2,"Spread","Future"))</f>
        <v/>
      </c>
      <c r="D337" t="str">
        <f ca="1">IFERROR(INDEX(exch_map[Exch],MATCH(rtd_data[[#This Row],[Group]],exch_map[Group],0)),"")</f>
        <v/>
      </c>
      <c r="E337" s="11" t="str" cm="1">
        <f t="array" aca="1" ref="E337" ca="1">IFERROR(INDEX(_xlfn.ANCHORARRAY(contracts!$A$6),ROW()-ROW(rtd_data[#Headers]),2),"")</f>
        <v/>
      </c>
      <c r="F33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7" t="str">
        <f ca="1">IF(rtd_data[[#This Row],[Exch]]="","",IF(rtd_data[[#This Row],[Exch]]="ICE_L","ICE",rtd_data[[#This Row],[Exch]]))</f>
        <v/>
      </c>
      <c r="I337" t="str">
        <f ca="1">IF(rtd_data[[#This Row],[Product]]="","",IFERROR(INDEX(exch_map[TT_Symbol],MATCH(rtd_data[[#This Row],[Group]],exch_map[Group],0))&amp;"",""))</f>
        <v/>
      </c>
      <c r="J337" t="str">
        <f ca="1">IF(rtd_data[[#This Row],[Type]]="Future",PROPER(RIGHT(rtd_data[[#This Row],[Product]],5)),"")</f>
        <v/>
      </c>
    </row>
    <row r="338" spans="1:10" x14ac:dyDescent="0.25">
      <c r="A338" s="11" t="str" cm="1">
        <f t="array" aca="1" ref="A338" ca="1">IFERROR(INDEX(_xlfn.ANCHORARRAY(contracts!$A$6),ROW()-ROW(rtd_data[#Headers]),1),"")</f>
        <v/>
      </c>
      <c r="B3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8" t="str">
        <f ca="1">IF(rtd_data[[#This Row],[Product]]="","",IF(LEN(TRIM(rtd_data[[#This Row],[Product]]))-LEN(SUBSTITUTE(TRIM(rtd_data[[#This Row],[Product]])," ",""))&gt;=2,"Spread","Future"))</f>
        <v/>
      </c>
      <c r="D338" t="str">
        <f ca="1">IFERROR(INDEX(exch_map[Exch],MATCH(rtd_data[[#This Row],[Group]],exch_map[Group],0)),"")</f>
        <v/>
      </c>
      <c r="E338" s="11" t="str" cm="1">
        <f t="array" aca="1" ref="E338" ca="1">IFERROR(INDEX(_xlfn.ANCHORARRAY(contracts!$A$6),ROW()-ROW(rtd_data[#Headers]),2),"")</f>
        <v/>
      </c>
      <c r="F33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8" t="str">
        <f ca="1">IF(rtd_data[[#This Row],[Exch]]="","",IF(rtd_data[[#This Row],[Exch]]="ICE_L","ICE",rtd_data[[#This Row],[Exch]]))</f>
        <v/>
      </c>
      <c r="I338" t="str">
        <f ca="1">IF(rtd_data[[#This Row],[Product]]="","",IFERROR(INDEX(exch_map[TT_Symbol],MATCH(rtd_data[[#This Row],[Group]],exch_map[Group],0))&amp;"",""))</f>
        <v/>
      </c>
      <c r="J338" t="str">
        <f ca="1">IF(rtd_data[[#This Row],[Type]]="Future",PROPER(RIGHT(rtd_data[[#This Row],[Product]],5)),"")</f>
        <v/>
      </c>
    </row>
    <row r="339" spans="1:10" x14ac:dyDescent="0.25">
      <c r="A339" s="11" t="str" cm="1">
        <f t="array" aca="1" ref="A339" ca="1">IFERROR(INDEX(_xlfn.ANCHORARRAY(contracts!$A$6),ROW()-ROW(rtd_data[#Headers]),1),"")</f>
        <v/>
      </c>
      <c r="B3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9" t="str">
        <f ca="1">IF(rtd_data[[#This Row],[Product]]="","",IF(LEN(TRIM(rtd_data[[#This Row],[Product]]))-LEN(SUBSTITUTE(TRIM(rtd_data[[#This Row],[Product]])," ",""))&gt;=2,"Spread","Future"))</f>
        <v/>
      </c>
      <c r="D339" t="str">
        <f ca="1">IFERROR(INDEX(exch_map[Exch],MATCH(rtd_data[[#This Row],[Group]],exch_map[Group],0)),"")</f>
        <v/>
      </c>
      <c r="E339" s="11" t="str" cm="1">
        <f t="array" aca="1" ref="E339" ca="1">IFERROR(INDEX(_xlfn.ANCHORARRAY(contracts!$A$6),ROW()-ROW(rtd_data[#Headers]),2),"")</f>
        <v/>
      </c>
      <c r="F33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9" t="str">
        <f ca="1">IF(rtd_data[[#This Row],[Exch]]="","",IF(rtd_data[[#This Row],[Exch]]="ICE_L","ICE",rtd_data[[#This Row],[Exch]]))</f>
        <v/>
      </c>
      <c r="I339" t="str">
        <f ca="1">IF(rtd_data[[#This Row],[Product]]="","",IFERROR(INDEX(exch_map[TT_Symbol],MATCH(rtd_data[[#This Row],[Group]],exch_map[Group],0))&amp;"",""))</f>
        <v/>
      </c>
      <c r="J339" t="str">
        <f ca="1">IF(rtd_data[[#This Row],[Type]]="Future",PROPER(RIGHT(rtd_data[[#This Row],[Product]],5)),"")</f>
        <v/>
      </c>
    </row>
    <row r="340" spans="1:10" x14ac:dyDescent="0.25">
      <c r="A340" s="11" t="str" cm="1">
        <f t="array" aca="1" ref="A340" ca="1">IFERROR(INDEX(_xlfn.ANCHORARRAY(contracts!$A$6),ROW()-ROW(rtd_data[#Headers]),1),"")</f>
        <v/>
      </c>
      <c r="B3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0" t="str">
        <f ca="1">IF(rtd_data[[#This Row],[Product]]="","",IF(LEN(TRIM(rtd_data[[#This Row],[Product]]))-LEN(SUBSTITUTE(TRIM(rtd_data[[#This Row],[Product]])," ",""))&gt;=2,"Spread","Future"))</f>
        <v/>
      </c>
      <c r="D340" t="str">
        <f ca="1">IFERROR(INDEX(exch_map[Exch],MATCH(rtd_data[[#This Row],[Group]],exch_map[Group],0)),"")</f>
        <v/>
      </c>
      <c r="E340" s="11" t="str" cm="1">
        <f t="array" aca="1" ref="E340" ca="1">IFERROR(INDEX(_xlfn.ANCHORARRAY(contracts!$A$6),ROW()-ROW(rtd_data[#Headers]),2),"")</f>
        <v/>
      </c>
      <c r="F34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0" t="str">
        <f ca="1">IF(rtd_data[[#This Row],[Exch]]="","",IF(rtd_data[[#This Row],[Exch]]="ICE_L","ICE",rtd_data[[#This Row],[Exch]]))</f>
        <v/>
      </c>
      <c r="I340" t="str">
        <f ca="1">IF(rtd_data[[#This Row],[Product]]="","",IFERROR(INDEX(exch_map[TT_Symbol],MATCH(rtd_data[[#This Row],[Group]],exch_map[Group],0))&amp;"",""))</f>
        <v/>
      </c>
      <c r="J340" t="str">
        <f ca="1">IF(rtd_data[[#This Row],[Type]]="Future",PROPER(RIGHT(rtd_data[[#This Row],[Product]],5)),"")</f>
        <v/>
      </c>
    </row>
    <row r="341" spans="1:10" x14ac:dyDescent="0.25">
      <c r="A341" s="11" t="str" cm="1">
        <f t="array" aca="1" ref="A341" ca="1">IFERROR(INDEX(_xlfn.ANCHORARRAY(contracts!$A$6),ROW()-ROW(rtd_data[#Headers]),1),"")</f>
        <v/>
      </c>
      <c r="B3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1" t="str">
        <f ca="1">IF(rtd_data[[#This Row],[Product]]="","",IF(LEN(TRIM(rtd_data[[#This Row],[Product]]))-LEN(SUBSTITUTE(TRIM(rtd_data[[#This Row],[Product]])," ",""))&gt;=2,"Spread","Future"))</f>
        <v/>
      </c>
      <c r="D341" t="str">
        <f ca="1">IFERROR(INDEX(exch_map[Exch],MATCH(rtd_data[[#This Row],[Group]],exch_map[Group],0)),"")</f>
        <v/>
      </c>
      <c r="E341" s="11" t="str" cm="1">
        <f t="array" aca="1" ref="E341" ca="1">IFERROR(INDEX(_xlfn.ANCHORARRAY(contracts!$A$6),ROW()-ROW(rtd_data[#Headers]),2),"")</f>
        <v/>
      </c>
      <c r="F34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1" t="str">
        <f ca="1">IF(rtd_data[[#This Row],[Exch]]="","",IF(rtd_data[[#This Row],[Exch]]="ICE_L","ICE",rtd_data[[#This Row],[Exch]]))</f>
        <v/>
      </c>
      <c r="I341" t="str">
        <f ca="1">IF(rtd_data[[#This Row],[Product]]="","",IFERROR(INDEX(exch_map[TT_Symbol],MATCH(rtd_data[[#This Row],[Group]],exch_map[Group],0))&amp;"",""))</f>
        <v/>
      </c>
      <c r="J341" t="str">
        <f ca="1">IF(rtd_data[[#This Row],[Type]]="Future",PROPER(RIGHT(rtd_data[[#This Row],[Product]],5)),"")</f>
        <v/>
      </c>
    </row>
    <row r="342" spans="1:10" x14ac:dyDescent="0.25">
      <c r="A342" s="11" t="str" cm="1">
        <f t="array" aca="1" ref="A342" ca="1">IFERROR(INDEX(_xlfn.ANCHORARRAY(contracts!$A$6),ROW()-ROW(rtd_data[#Headers]),1),"")</f>
        <v/>
      </c>
      <c r="B3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2" t="str">
        <f ca="1">IF(rtd_data[[#This Row],[Product]]="","",IF(LEN(TRIM(rtd_data[[#This Row],[Product]]))-LEN(SUBSTITUTE(TRIM(rtd_data[[#This Row],[Product]])," ",""))&gt;=2,"Spread","Future"))</f>
        <v/>
      </c>
      <c r="D342" t="str">
        <f ca="1">IFERROR(INDEX(exch_map[Exch],MATCH(rtd_data[[#This Row],[Group]],exch_map[Group],0)),"")</f>
        <v/>
      </c>
      <c r="E342" s="11" t="str" cm="1">
        <f t="array" aca="1" ref="E342" ca="1">IFERROR(INDEX(_xlfn.ANCHORARRAY(contracts!$A$6),ROW()-ROW(rtd_data[#Headers]),2),"")</f>
        <v/>
      </c>
      <c r="F34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2" t="str">
        <f ca="1">IF(rtd_data[[#This Row],[Exch]]="","",IF(rtd_data[[#This Row],[Exch]]="ICE_L","ICE",rtd_data[[#This Row],[Exch]]))</f>
        <v/>
      </c>
      <c r="I342" t="str">
        <f ca="1">IF(rtd_data[[#This Row],[Product]]="","",IFERROR(INDEX(exch_map[TT_Symbol],MATCH(rtd_data[[#This Row],[Group]],exch_map[Group],0))&amp;"",""))</f>
        <v/>
      </c>
      <c r="J342" t="str">
        <f ca="1">IF(rtd_data[[#This Row],[Type]]="Future",PROPER(RIGHT(rtd_data[[#This Row],[Product]],5)),"")</f>
        <v/>
      </c>
    </row>
    <row r="343" spans="1:10" x14ac:dyDescent="0.25">
      <c r="A343" s="11" t="str" cm="1">
        <f t="array" aca="1" ref="A343" ca="1">IFERROR(INDEX(_xlfn.ANCHORARRAY(contracts!$A$6),ROW()-ROW(rtd_data[#Headers]),1),"")</f>
        <v/>
      </c>
      <c r="B3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3" t="str">
        <f ca="1">IF(rtd_data[[#This Row],[Product]]="","",IF(LEN(TRIM(rtd_data[[#This Row],[Product]]))-LEN(SUBSTITUTE(TRIM(rtd_data[[#This Row],[Product]])," ",""))&gt;=2,"Spread","Future"))</f>
        <v/>
      </c>
      <c r="D343" t="str">
        <f ca="1">IFERROR(INDEX(exch_map[Exch],MATCH(rtd_data[[#This Row],[Group]],exch_map[Group],0)),"")</f>
        <v/>
      </c>
      <c r="E343" s="11" t="str" cm="1">
        <f t="array" aca="1" ref="E343" ca="1">IFERROR(INDEX(_xlfn.ANCHORARRAY(contracts!$A$6),ROW()-ROW(rtd_data[#Headers]),2),"")</f>
        <v/>
      </c>
      <c r="F34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3" t="str">
        <f ca="1">IF(rtd_data[[#This Row],[Exch]]="","",IF(rtd_data[[#This Row],[Exch]]="ICE_L","ICE",rtd_data[[#This Row],[Exch]]))</f>
        <v/>
      </c>
      <c r="I343" t="str">
        <f ca="1">IF(rtd_data[[#This Row],[Product]]="","",IFERROR(INDEX(exch_map[TT_Symbol],MATCH(rtd_data[[#This Row],[Group]],exch_map[Group],0))&amp;"",""))</f>
        <v/>
      </c>
      <c r="J343" t="str">
        <f ca="1">IF(rtd_data[[#This Row],[Type]]="Future",PROPER(RIGHT(rtd_data[[#This Row],[Product]],5)),"")</f>
        <v/>
      </c>
    </row>
    <row r="344" spans="1:10" x14ac:dyDescent="0.25">
      <c r="A344" s="11" t="str" cm="1">
        <f t="array" aca="1" ref="A344" ca="1">IFERROR(INDEX(_xlfn.ANCHORARRAY(contracts!$A$6),ROW()-ROW(rtd_data[#Headers]),1),"")</f>
        <v/>
      </c>
      <c r="B3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4" t="str">
        <f ca="1">IF(rtd_data[[#This Row],[Product]]="","",IF(LEN(TRIM(rtd_data[[#This Row],[Product]]))-LEN(SUBSTITUTE(TRIM(rtd_data[[#This Row],[Product]])," ",""))&gt;=2,"Spread","Future"))</f>
        <v/>
      </c>
      <c r="D344" t="str">
        <f ca="1">IFERROR(INDEX(exch_map[Exch],MATCH(rtd_data[[#This Row],[Group]],exch_map[Group],0)),"")</f>
        <v/>
      </c>
      <c r="E344" s="11" t="str" cm="1">
        <f t="array" aca="1" ref="E344" ca="1">IFERROR(INDEX(_xlfn.ANCHORARRAY(contracts!$A$6),ROW()-ROW(rtd_data[#Headers]),2),"")</f>
        <v/>
      </c>
      <c r="F34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4" t="str">
        <f ca="1">IF(rtd_data[[#This Row],[Exch]]="","",IF(rtd_data[[#This Row],[Exch]]="ICE_L","ICE",rtd_data[[#This Row],[Exch]]))</f>
        <v/>
      </c>
      <c r="I344" t="str">
        <f ca="1">IF(rtd_data[[#This Row],[Product]]="","",IFERROR(INDEX(exch_map[TT_Symbol],MATCH(rtd_data[[#This Row],[Group]],exch_map[Group],0))&amp;"",""))</f>
        <v/>
      </c>
      <c r="J344" t="str">
        <f ca="1">IF(rtd_data[[#This Row],[Type]]="Future",PROPER(RIGHT(rtd_data[[#This Row],[Product]],5)),"")</f>
        <v/>
      </c>
    </row>
    <row r="345" spans="1:10" x14ac:dyDescent="0.25">
      <c r="A345" s="11" t="str" cm="1">
        <f t="array" aca="1" ref="A345" ca="1">IFERROR(INDEX(_xlfn.ANCHORARRAY(contracts!$A$6),ROW()-ROW(rtd_data[#Headers]),1),"")</f>
        <v/>
      </c>
      <c r="B3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5" t="str">
        <f ca="1">IF(rtd_data[[#This Row],[Product]]="","",IF(LEN(TRIM(rtd_data[[#This Row],[Product]]))-LEN(SUBSTITUTE(TRIM(rtd_data[[#This Row],[Product]])," ",""))&gt;=2,"Spread","Future"))</f>
        <v/>
      </c>
      <c r="D345" t="str">
        <f ca="1">IFERROR(INDEX(exch_map[Exch],MATCH(rtd_data[[#This Row],[Group]],exch_map[Group],0)),"")</f>
        <v/>
      </c>
      <c r="E345" s="11" t="str" cm="1">
        <f t="array" aca="1" ref="E345" ca="1">IFERROR(INDEX(_xlfn.ANCHORARRAY(contracts!$A$6),ROW()-ROW(rtd_data[#Headers]),2),"")</f>
        <v/>
      </c>
      <c r="F34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5" t="str">
        <f ca="1">IF(rtd_data[[#This Row],[Exch]]="","",IF(rtd_data[[#This Row],[Exch]]="ICE_L","ICE",rtd_data[[#This Row],[Exch]]))</f>
        <v/>
      </c>
      <c r="I345" t="str">
        <f ca="1">IF(rtd_data[[#This Row],[Product]]="","",IFERROR(INDEX(exch_map[TT_Symbol],MATCH(rtd_data[[#This Row],[Group]],exch_map[Group],0))&amp;"",""))</f>
        <v/>
      </c>
      <c r="J345" t="str">
        <f ca="1">IF(rtd_data[[#This Row],[Type]]="Future",PROPER(RIGHT(rtd_data[[#This Row],[Product]],5)),"")</f>
        <v/>
      </c>
    </row>
    <row r="346" spans="1:10" x14ac:dyDescent="0.25">
      <c r="A346" s="11" t="str" cm="1">
        <f t="array" aca="1" ref="A346" ca="1">IFERROR(INDEX(_xlfn.ANCHORARRAY(contracts!$A$6),ROW()-ROW(rtd_data[#Headers]),1),"")</f>
        <v/>
      </c>
      <c r="B3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6" t="str">
        <f ca="1">IF(rtd_data[[#This Row],[Product]]="","",IF(LEN(TRIM(rtd_data[[#This Row],[Product]]))-LEN(SUBSTITUTE(TRIM(rtd_data[[#This Row],[Product]])," ",""))&gt;=2,"Spread","Future"))</f>
        <v/>
      </c>
      <c r="D346" t="str">
        <f ca="1">IFERROR(INDEX(exch_map[Exch],MATCH(rtd_data[[#This Row],[Group]],exch_map[Group],0)),"")</f>
        <v/>
      </c>
      <c r="E346" s="11" t="str" cm="1">
        <f t="array" aca="1" ref="E346" ca="1">IFERROR(INDEX(_xlfn.ANCHORARRAY(contracts!$A$6),ROW()-ROW(rtd_data[#Headers]),2),"")</f>
        <v/>
      </c>
      <c r="F34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6" t="str">
        <f ca="1">IF(rtd_data[[#This Row],[Exch]]="","",IF(rtd_data[[#This Row],[Exch]]="ICE_L","ICE",rtd_data[[#This Row],[Exch]]))</f>
        <v/>
      </c>
      <c r="I346" t="str">
        <f ca="1">IF(rtd_data[[#This Row],[Product]]="","",IFERROR(INDEX(exch_map[TT_Symbol],MATCH(rtd_data[[#This Row],[Group]],exch_map[Group],0))&amp;"",""))</f>
        <v/>
      </c>
      <c r="J346" t="str">
        <f ca="1">IF(rtd_data[[#This Row],[Type]]="Future",PROPER(RIGHT(rtd_data[[#This Row],[Product]],5)),"")</f>
        <v/>
      </c>
    </row>
    <row r="347" spans="1:10" x14ac:dyDescent="0.25">
      <c r="A347" s="11" t="str" cm="1">
        <f t="array" aca="1" ref="A347" ca="1">IFERROR(INDEX(_xlfn.ANCHORARRAY(contracts!$A$6),ROW()-ROW(rtd_data[#Headers]),1),"")</f>
        <v/>
      </c>
      <c r="B3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7" t="str">
        <f ca="1">IF(rtd_data[[#This Row],[Product]]="","",IF(LEN(TRIM(rtd_data[[#This Row],[Product]]))-LEN(SUBSTITUTE(TRIM(rtd_data[[#This Row],[Product]])," ",""))&gt;=2,"Spread","Future"))</f>
        <v/>
      </c>
      <c r="D347" t="str">
        <f ca="1">IFERROR(INDEX(exch_map[Exch],MATCH(rtd_data[[#This Row],[Group]],exch_map[Group],0)),"")</f>
        <v/>
      </c>
      <c r="E347" s="11" t="str" cm="1">
        <f t="array" aca="1" ref="E347" ca="1">IFERROR(INDEX(_xlfn.ANCHORARRAY(contracts!$A$6),ROW()-ROW(rtd_data[#Headers]),2),"")</f>
        <v/>
      </c>
      <c r="F34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7" t="str">
        <f ca="1">IF(rtd_data[[#This Row],[Exch]]="","",IF(rtd_data[[#This Row],[Exch]]="ICE_L","ICE",rtd_data[[#This Row],[Exch]]))</f>
        <v/>
      </c>
      <c r="I347" t="str">
        <f ca="1">IF(rtd_data[[#This Row],[Product]]="","",IFERROR(INDEX(exch_map[TT_Symbol],MATCH(rtd_data[[#This Row],[Group]],exch_map[Group],0))&amp;"",""))</f>
        <v/>
      </c>
      <c r="J347" t="str">
        <f ca="1">IF(rtd_data[[#This Row],[Type]]="Future",PROPER(RIGHT(rtd_data[[#This Row],[Product]],5)),"")</f>
        <v/>
      </c>
    </row>
    <row r="348" spans="1:10" x14ac:dyDescent="0.25">
      <c r="A348" s="11" t="str" cm="1">
        <f t="array" aca="1" ref="A348" ca="1">IFERROR(INDEX(_xlfn.ANCHORARRAY(contracts!$A$6),ROW()-ROW(rtd_data[#Headers]),1),"")</f>
        <v/>
      </c>
      <c r="B3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8" t="str">
        <f ca="1">IF(rtd_data[[#This Row],[Product]]="","",IF(LEN(TRIM(rtd_data[[#This Row],[Product]]))-LEN(SUBSTITUTE(TRIM(rtd_data[[#This Row],[Product]])," ",""))&gt;=2,"Spread","Future"))</f>
        <v/>
      </c>
      <c r="D348" t="str">
        <f ca="1">IFERROR(INDEX(exch_map[Exch],MATCH(rtd_data[[#This Row],[Group]],exch_map[Group],0)),"")</f>
        <v/>
      </c>
      <c r="E348" s="11" t="str" cm="1">
        <f t="array" aca="1" ref="E348" ca="1">IFERROR(INDEX(_xlfn.ANCHORARRAY(contracts!$A$6),ROW()-ROW(rtd_data[#Headers]),2),"")</f>
        <v/>
      </c>
      <c r="F34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8" t="str">
        <f ca="1">IF(rtd_data[[#This Row],[Exch]]="","",IF(rtd_data[[#This Row],[Exch]]="ICE_L","ICE",rtd_data[[#This Row],[Exch]]))</f>
        <v/>
      </c>
      <c r="I348" t="str">
        <f ca="1">IF(rtd_data[[#This Row],[Product]]="","",IFERROR(INDEX(exch_map[TT_Symbol],MATCH(rtd_data[[#This Row],[Group]],exch_map[Group],0))&amp;"",""))</f>
        <v/>
      </c>
      <c r="J348" t="str">
        <f ca="1">IF(rtd_data[[#This Row],[Type]]="Future",PROPER(RIGHT(rtd_data[[#This Row],[Product]],5)),"")</f>
        <v/>
      </c>
    </row>
    <row r="349" spans="1:10" x14ac:dyDescent="0.25">
      <c r="A349" s="11" t="str" cm="1">
        <f t="array" aca="1" ref="A349" ca="1">IFERROR(INDEX(_xlfn.ANCHORARRAY(contracts!$A$6),ROW()-ROW(rtd_data[#Headers]),1),"")</f>
        <v/>
      </c>
      <c r="B3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9" t="str">
        <f ca="1">IF(rtd_data[[#This Row],[Product]]="","",IF(LEN(TRIM(rtd_data[[#This Row],[Product]]))-LEN(SUBSTITUTE(TRIM(rtd_data[[#This Row],[Product]])," ",""))&gt;=2,"Spread","Future"))</f>
        <v/>
      </c>
      <c r="D349" t="str">
        <f ca="1">IFERROR(INDEX(exch_map[Exch],MATCH(rtd_data[[#This Row],[Group]],exch_map[Group],0)),"")</f>
        <v/>
      </c>
      <c r="E349" s="11" t="str" cm="1">
        <f t="array" aca="1" ref="E349" ca="1">IFERROR(INDEX(_xlfn.ANCHORARRAY(contracts!$A$6),ROW()-ROW(rtd_data[#Headers]),2),"")</f>
        <v/>
      </c>
      <c r="F34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9" t="str">
        <f ca="1">IF(rtd_data[[#This Row],[Exch]]="","",IF(rtd_data[[#This Row],[Exch]]="ICE_L","ICE",rtd_data[[#This Row],[Exch]]))</f>
        <v/>
      </c>
      <c r="I349" t="str">
        <f ca="1">IF(rtd_data[[#This Row],[Product]]="","",IFERROR(INDEX(exch_map[TT_Symbol],MATCH(rtd_data[[#This Row],[Group]],exch_map[Group],0))&amp;"",""))</f>
        <v/>
      </c>
      <c r="J349" t="str">
        <f ca="1">IF(rtd_data[[#This Row],[Type]]="Future",PROPER(RIGHT(rtd_data[[#This Row],[Product]],5)),"")</f>
        <v/>
      </c>
    </row>
    <row r="350" spans="1:10" x14ac:dyDescent="0.25">
      <c r="A350" s="11" t="str" cm="1">
        <f t="array" aca="1" ref="A350" ca="1">IFERROR(INDEX(_xlfn.ANCHORARRAY(contracts!$A$6),ROW()-ROW(rtd_data[#Headers]),1),"")</f>
        <v/>
      </c>
      <c r="B3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0" t="str">
        <f ca="1">IF(rtd_data[[#This Row],[Product]]="","",IF(LEN(TRIM(rtd_data[[#This Row],[Product]]))-LEN(SUBSTITUTE(TRIM(rtd_data[[#This Row],[Product]])," ",""))&gt;=2,"Spread","Future"))</f>
        <v/>
      </c>
      <c r="D350" t="str">
        <f ca="1">IFERROR(INDEX(exch_map[Exch],MATCH(rtd_data[[#This Row],[Group]],exch_map[Group],0)),"")</f>
        <v/>
      </c>
      <c r="E350" s="11" t="str" cm="1">
        <f t="array" aca="1" ref="E350" ca="1">IFERROR(INDEX(_xlfn.ANCHORARRAY(contracts!$A$6),ROW()-ROW(rtd_data[#Headers]),2),"")</f>
        <v/>
      </c>
      <c r="F35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0" t="str">
        <f ca="1">IF(rtd_data[[#This Row],[Exch]]="","",IF(rtd_data[[#This Row],[Exch]]="ICE_L","ICE",rtd_data[[#This Row],[Exch]]))</f>
        <v/>
      </c>
      <c r="I350" t="str">
        <f ca="1">IF(rtd_data[[#This Row],[Product]]="","",IFERROR(INDEX(exch_map[TT_Symbol],MATCH(rtd_data[[#This Row],[Group]],exch_map[Group],0))&amp;"",""))</f>
        <v/>
      </c>
      <c r="J350" t="str">
        <f ca="1">IF(rtd_data[[#This Row],[Type]]="Future",PROPER(RIGHT(rtd_data[[#This Row],[Product]],5)),"")</f>
        <v/>
      </c>
    </row>
    <row r="351" spans="1:10" x14ac:dyDescent="0.25">
      <c r="A351" s="11" t="str" cm="1">
        <f t="array" aca="1" ref="A351" ca="1">IFERROR(INDEX(_xlfn.ANCHORARRAY(contracts!$A$6),ROW()-ROW(rtd_data[#Headers]),1),"")</f>
        <v/>
      </c>
      <c r="B3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1" t="str">
        <f ca="1">IF(rtd_data[[#This Row],[Product]]="","",IF(LEN(TRIM(rtd_data[[#This Row],[Product]]))-LEN(SUBSTITUTE(TRIM(rtd_data[[#This Row],[Product]])," ",""))&gt;=2,"Spread","Future"))</f>
        <v/>
      </c>
      <c r="D351" t="str">
        <f ca="1">IFERROR(INDEX(exch_map[Exch],MATCH(rtd_data[[#This Row],[Group]],exch_map[Group],0)),"")</f>
        <v/>
      </c>
      <c r="E351" s="11" t="str" cm="1">
        <f t="array" aca="1" ref="E351" ca="1">IFERROR(INDEX(_xlfn.ANCHORARRAY(contracts!$A$6),ROW()-ROW(rtd_data[#Headers]),2),"")</f>
        <v/>
      </c>
      <c r="F35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1" t="str">
        <f ca="1">IF(rtd_data[[#This Row],[Exch]]="","",IF(rtd_data[[#This Row],[Exch]]="ICE_L","ICE",rtd_data[[#This Row],[Exch]]))</f>
        <v/>
      </c>
      <c r="I351" t="str">
        <f ca="1">IF(rtd_data[[#This Row],[Product]]="","",IFERROR(INDEX(exch_map[TT_Symbol],MATCH(rtd_data[[#This Row],[Group]],exch_map[Group],0))&amp;"",""))</f>
        <v/>
      </c>
      <c r="J351" t="str">
        <f ca="1">IF(rtd_data[[#This Row],[Type]]="Future",PROPER(RIGHT(rtd_data[[#This Row],[Product]],5)),"")</f>
        <v/>
      </c>
    </row>
    <row r="352" spans="1:10" x14ac:dyDescent="0.25">
      <c r="A352" s="11" t="str" cm="1">
        <f t="array" aca="1" ref="A352" ca="1">IFERROR(INDEX(_xlfn.ANCHORARRAY(contracts!$A$6),ROW()-ROW(rtd_data[#Headers]),1),"")</f>
        <v/>
      </c>
      <c r="B3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2" t="str">
        <f ca="1">IF(rtd_data[[#This Row],[Product]]="","",IF(LEN(TRIM(rtd_data[[#This Row],[Product]]))-LEN(SUBSTITUTE(TRIM(rtd_data[[#This Row],[Product]])," ",""))&gt;=2,"Spread","Future"))</f>
        <v/>
      </c>
      <c r="D352" t="str">
        <f ca="1">IFERROR(INDEX(exch_map[Exch],MATCH(rtd_data[[#This Row],[Group]],exch_map[Group],0)),"")</f>
        <v/>
      </c>
      <c r="E352" s="11" t="str" cm="1">
        <f t="array" aca="1" ref="E352" ca="1">IFERROR(INDEX(_xlfn.ANCHORARRAY(contracts!$A$6),ROW()-ROW(rtd_data[#Headers]),2),"")</f>
        <v/>
      </c>
      <c r="F35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2" t="str">
        <f ca="1">IF(rtd_data[[#This Row],[Exch]]="","",IF(rtd_data[[#This Row],[Exch]]="ICE_L","ICE",rtd_data[[#This Row],[Exch]]))</f>
        <v/>
      </c>
      <c r="I352" t="str">
        <f ca="1">IF(rtd_data[[#This Row],[Product]]="","",IFERROR(INDEX(exch_map[TT_Symbol],MATCH(rtd_data[[#This Row],[Group]],exch_map[Group],0))&amp;"",""))</f>
        <v/>
      </c>
      <c r="J352" t="str">
        <f ca="1">IF(rtd_data[[#This Row],[Type]]="Future",PROPER(RIGHT(rtd_data[[#This Row],[Product]],5)),"")</f>
        <v/>
      </c>
    </row>
    <row r="353" spans="1:10" x14ac:dyDescent="0.25">
      <c r="A353" s="11" t="str" cm="1">
        <f t="array" aca="1" ref="A353" ca="1">IFERROR(INDEX(_xlfn.ANCHORARRAY(contracts!$A$6),ROW()-ROW(rtd_data[#Headers]),1),"")</f>
        <v/>
      </c>
      <c r="B3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3" t="str">
        <f ca="1">IF(rtd_data[[#This Row],[Product]]="","",IF(LEN(TRIM(rtd_data[[#This Row],[Product]]))-LEN(SUBSTITUTE(TRIM(rtd_data[[#This Row],[Product]])," ",""))&gt;=2,"Spread","Future"))</f>
        <v/>
      </c>
      <c r="D353" t="str">
        <f ca="1">IFERROR(INDEX(exch_map[Exch],MATCH(rtd_data[[#This Row],[Group]],exch_map[Group],0)),"")</f>
        <v/>
      </c>
      <c r="E353" s="11" t="str" cm="1">
        <f t="array" aca="1" ref="E353" ca="1">IFERROR(INDEX(_xlfn.ANCHORARRAY(contracts!$A$6),ROW()-ROW(rtd_data[#Headers]),2),"")</f>
        <v/>
      </c>
      <c r="F35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3" t="str">
        <f ca="1">IF(rtd_data[[#This Row],[Exch]]="","",IF(rtd_data[[#This Row],[Exch]]="ICE_L","ICE",rtd_data[[#This Row],[Exch]]))</f>
        <v/>
      </c>
      <c r="I353" t="str">
        <f ca="1">IF(rtd_data[[#This Row],[Product]]="","",IFERROR(INDEX(exch_map[TT_Symbol],MATCH(rtd_data[[#This Row],[Group]],exch_map[Group],0))&amp;"",""))</f>
        <v/>
      </c>
      <c r="J353" t="str">
        <f ca="1">IF(rtd_data[[#This Row],[Type]]="Future",PROPER(RIGHT(rtd_data[[#This Row],[Product]],5)),"")</f>
        <v/>
      </c>
    </row>
    <row r="354" spans="1:10" x14ac:dyDescent="0.25">
      <c r="A354" s="11" t="str" cm="1">
        <f t="array" aca="1" ref="A354" ca="1">IFERROR(INDEX(_xlfn.ANCHORARRAY(contracts!$A$6),ROW()-ROW(rtd_data[#Headers]),1),"")</f>
        <v/>
      </c>
      <c r="B3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4" t="str">
        <f ca="1">IF(rtd_data[[#This Row],[Product]]="","",IF(LEN(TRIM(rtd_data[[#This Row],[Product]]))-LEN(SUBSTITUTE(TRIM(rtd_data[[#This Row],[Product]])," ",""))&gt;=2,"Spread","Future"))</f>
        <v/>
      </c>
      <c r="D354" t="str">
        <f ca="1">IFERROR(INDEX(exch_map[Exch],MATCH(rtd_data[[#This Row],[Group]],exch_map[Group],0)),"")</f>
        <v/>
      </c>
      <c r="E354" s="11" t="str" cm="1">
        <f t="array" aca="1" ref="E354" ca="1">IFERROR(INDEX(_xlfn.ANCHORARRAY(contracts!$A$6),ROW()-ROW(rtd_data[#Headers]),2),"")</f>
        <v/>
      </c>
      <c r="F35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4" t="str">
        <f ca="1">IF(rtd_data[[#This Row],[Exch]]="","",IF(rtd_data[[#This Row],[Exch]]="ICE_L","ICE",rtd_data[[#This Row],[Exch]]))</f>
        <v/>
      </c>
      <c r="I354" t="str">
        <f ca="1">IF(rtd_data[[#This Row],[Product]]="","",IFERROR(INDEX(exch_map[TT_Symbol],MATCH(rtd_data[[#This Row],[Group]],exch_map[Group],0))&amp;"",""))</f>
        <v/>
      </c>
      <c r="J354" t="str">
        <f ca="1">IF(rtd_data[[#This Row],[Type]]="Future",PROPER(RIGHT(rtd_data[[#This Row],[Product]],5)),"")</f>
        <v/>
      </c>
    </row>
    <row r="355" spans="1:10" x14ac:dyDescent="0.25">
      <c r="A355" s="11" t="str" cm="1">
        <f t="array" aca="1" ref="A355" ca="1">IFERROR(INDEX(_xlfn.ANCHORARRAY(contracts!$A$6),ROW()-ROW(rtd_data[#Headers]),1),"")</f>
        <v/>
      </c>
      <c r="B3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5" t="str">
        <f ca="1">IF(rtd_data[[#This Row],[Product]]="","",IF(LEN(TRIM(rtd_data[[#This Row],[Product]]))-LEN(SUBSTITUTE(TRIM(rtd_data[[#This Row],[Product]])," ",""))&gt;=2,"Spread","Future"))</f>
        <v/>
      </c>
      <c r="D355" t="str">
        <f ca="1">IFERROR(INDEX(exch_map[Exch],MATCH(rtd_data[[#This Row],[Group]],exch_map[Group],0)),"")</f>
        <v/>
      </c>
      <c r="E355" s="11" t="str" cm="1">
        <f t="array" aca="1" ref="E355" ca="1">IFERROR(INDEX(_xlfn.ANCHORARRAY(contracts!$A$6),ROW()-ROW(rtd_data[#Headers]),2),"")</f>
        <v/>
      </c>
      <c r="F35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5" t="str">
        <f ca="1">IF(rtd_data[[#This Row],[Exch]]="","",IF(rtd_data[[#This Row],[Exch]]="ICE_L","ICE",rtd_data[[#This Row],[Exch]]))</f>
        <v/>
      </c>
      <c r="I355" t="str">
        <f ca="1">IF(rtd_data[[#This Row],[Product]]="","",IFERROR(INDEX(exch_map[TT_Symbol],MATCH(rtd_data[[#This Row],[Group]],exch_map[Group],0))&amp;"",""))</f>
        <v/>
      </c>
      <c r="J355" t="str">
        <f ca="1">IF(rtd_data[[#This Row],[Type]]="Future",PROPER(RIGHT(rtd_data[[#This Row],[Product]],5)),"")</f>
        <v/>
      </c>
    </row>
    <row r="356" spans="1:10" x14ac:dyDescent="0.25">
      <c r="A356" s="11" t="str" cm="1">
        <f t="array" aca="1" ref="A356" ca="1">IFERROR(INDEX(_xlfn.ANCHORARRAY(contracts!$A$6),ROW()-ROW(rtd_data[#Headers]),1),"")</f>
        <v/>
      </c>
      <c r="B3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6" t="str">
        <f ca="1">IF(rtd_data[[#This Row],[Product]]="","",IF(LEN(TRIM(rtd_data[[#This Row],[Product]]))-LEN(SUBSTITUTE(TRIM(rtd_data[[#This Row],[Product]])," ",""))&gt;=2,"Spread","Future"))</f>
        <v/>
      </c>
      <c r="D356" t="str">
        <f ca="1">IFERROR(INDEX(exch_map[Exch],MATCH(rtd_data[[#This Row],[Group]],exch_map[Group],0)),"")</f>
        <v/>
      </c>
      <c r="E356" s="11" t="str" cm="1">
        <f t="array" aca="1" ref="E356" ca="1">IFERROR(INDEX(_xlfn.ANCHORARRAY(contracts!$A$6),ROW()-ROW(rtd_data[#Headers]),2),"")</f>
        <v/>
      </c>
      <c r="F35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6" t="str">
        <f ca="1">IF(rtd_data[[#This Row],[Exch]]="","",IF(rtd_data[[#This Row],[Exch]]="ICE_L","ICE",rtd_data[[#This Row],[Exch]]))</f>
        <v/>
      </c>
      <c r="I356" t="str">
        <f ca="1">IF(rtd_data[[#This Row],[Product]]="","",IFERROR(INDEX(exch_map[TT_Symbol],MATCH(rtd_data[[#This Row],[Group]],exch_map[Group],0))&amp;"",""))</f>
        <v/>
      </c>
      <c r="J356" t="str">
        <f ca="1">IF(rtd_data[[#This Row],[Type]]="Future",PROPER(RIGHT(rtd_data[[#This Row],[Product]],5)),"")</f>
        <v/>
      </c>
    </row>
    <row r="357" spans="1:10" x14ac:dyDescent="0.25">
      <c r="A357" s="11" t="str" cm="1">
        <f t="array" aca="1" ref="A357" ca="1">IFERROR(INDEX(_xlfn.ANCHORARRAY(contracts!$A$6),ROW()-ROW(rtd_data[#Headers]),1),"")</f>
        <v/>
      </c>
      <c r="B3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7" t="str">
        <f ca="1">IF(rtd_data[[#This Row],[Product]]="","",IF(LEN(TRIM(rtd_data[[#This Row],[Product]]))-LEN(SUBSTITUTE(TRIM(rtd_data[[#This Row],[Product]])," ",""))&gt;=2,"Spread","Future"))</f>
        <v/>
      </c>
      <c r="D357" t="str">
        <f ca="1">IFERROR(INDEX(exch_map[Exch],MATCH(rtd_data[[#This Row],[Group]],exch_map[Group],0)),"")</f>
        <v/>
      </c>
      <c r="E357" s="11" t="str" cm="1">
        <f t="array" aca="1" ref="E357" ca="1">IFERROR(INDEX(_xlfn.ANCHORARRAY(contracts!$A$6),ROW()-ROW(rtd_data[#Headers]),2),"")</f>
        <v/>
      </c>
      <c r="F3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7" t="str">
        <f ca="1">IF(rtd_data[[#This Row],[Exch]]="","",IF(rtd_data[[#This Row],[Exch]]="ICE_L","ICE",rtd_data[[#This Row],[Exch]]))</f>
        <v/>
      </c>
      <c r="I357" t="str">
        <f ca="1">IF(rtd_data[[#This Row],[Product]]="","",IFERROR(INDEX(exch_map[TT_Symbol],MATCH(rtd_data[[#This Row],[Group]],exch_map[Group],0))&amp;"",""))</f>
        <v/>
      </c>
      <c r="J357" t="str">
        <f ca="1">IF(rtd_data[[#This Row],[Type]]="Future",PROPER(RIGHT(rtd_data[[#This Row],[Product]],5)),"")</f>
        <v/>
      </c>
    </row>
    <row r="358" spans="1:10" x14ac:dyDescent="0.25">
      <c r="A358" s="11" t="str" cm="1">
        <f t="array" aca="1" ref="A358" ca="1">IFERROR(INDEX(_xlfn.ANCHORARRAY(contracts!$A$6),ROW()-ROW(rtd_data[#Headers]),1),"")</f>
        <v/>
      </c>
      <c r="B3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8" t="str">
        <f ca="1">IF(rtd_data[[#This Row],[Product]]="","",IF(LEN(TRIM(rtd_data[[#This Row],[Product]]))-LEN(SUBSTITUTE(TRIM(rtd_data[[#This Row],[Product]])," ",""))&gt;=2,"Spread","Future"))</f>
        <v/>
      </c>
      <c r="D358" t="str">
        <f ca="1">IFERROR(INDEX(exch_map[Exch],MATCH(rtd_data[[#This Row],[Group]],exch_map[Group],0)),"")</f>
        <v/>
      </c>
      <c r="E358" s="11" t="str" cm="1">
        <f t="array" aca="1" ref="E358" ca="1">IFERROR(INDEX(_xlfn.ANCHORARRAY(contracts!$A$6),ROW()-ROW(rtd_data[#Headers]),2),"")</f>
        <v/>
      </c>
      <c r="F3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8" t="str">
        <f ca="1">IF(rtd_data[[#This Row],[Exch]]="","",IF(rtd_data[[#This Row],[Exch]]="ICE_L","ICE",rtd_data[[#This Row],[Exch]]))</f>
        <v/>
      </c>
      <c r="I358" t="str">
        <f ca="1">IF(rtd_data[[#This Row],[Product]]="","",IFERROR(INDEX(exch_map[TT_Symbol],MATCH(rtd_data[[#This Row],[Group]],exch_map[Group],0))&amp;"",""))</f>
        <v/>
      </c>
      <c r="J358" t="str">
        <f ca="1">IF(rtd_data[[#This Row],[Type]]="Future",PROPER(RIGHT(rtd_data[[#This Row],[Product]],5)),"")</f>
        <v/>
      </c>
    </row>
    <row r="359" spans="1:10" x14ac:dyDescent="0.25">
      <c r="A359" s="11" t="str" cm="1">
        <f t="array" aca="1" ref="A359" ca="1">IFERROR(INDEX(_xlfn.ANCHORARRAY(contracts!$A$6),ROW()-ROW(rtd_data[#Headers]),1),"")</f>
        <v/>
      </c>
      <c r="B3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9" t="str">
        <f ca="1">IF(rtd_data[[#This Row],[Product]]="","",IF(LEN(TRIM(rtd_data[[#This Row],[Product]]))-LEN(SUBSTITUTE(TRIM(rtd_data[[#This Row],[Product]])," ",""))&gt;=2,"Spread","Future"))</f>
        <v/>
      </c>
      <c r="D359" t="str">
        <f ca="1">IFERROR(INDEX(exch_map[Exch],MATCH(rtd_data[[#This Row],[Group]],exch_map[Group],0)),"")</f>
        <v/>
      </c>
      <c r="E359" s="11" t="str" cm="1">
        <f t="array" aca="1" ref="E359" ca="1">IFERROR(INDEX(_xlfn.ANCHORARRAY(contracts!$A$6),ROW()-ROW(rtd_data[#Headers]),2),"")</f>
        <v/>
      </c>
      <c r="F35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9" t="str">
        <f ca="1">IF(rtd_data[[#This Row],[Exch]]="","",IF(rtd_data[[#This Row],[Exch]]="ICE_L","ICE",rtd_data[[#This Row],[Exch]]))</f>
        <v/>
      </c>
      <c r="I359" t="str">
        <f ca="1">IF(rtd_data[[#This Row],[Product]]="","",IFERROR(INDEX(exch_map[TT_Symbol],MATCH(rtd_data[[#This Row],[Group]],exch_map[Group],0))&amp;"",""))</f>
        <v/>
      </c>
      <c r="J359" t="str">
        <f ca="1">IF(rtd_data[[#This Row],[Type]]="Future",PROPER(RIGHT(rtd_data[[#This Row],[Product]],5)),"")</f>
        <v/>
      </c>
    </row>
    <row r="360" spans="1:10" x14ac:dyDescent="0.25">
      <c r="A360" s="11" t="str" cm="1">
        <f t="array" aca="1" ref="A360" ca="1">IFERROR(INDEX(_xlfn.ANCHORARRAY(contracts!$A$6),ROW()-ROW(rtd_data[#Headers]),1),"")</f>
        <v/>
      </c>
      <c r="B3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0" t="str">
        <f ca="1">IF(rtd_data[[#This Row],[Product]]="","",IF(LEN(TRIM(rtd_data[[#This Row],[Product]]))-LEN(SUBSTITUTE(TRIM(rtd_data[[#This Row],[Product]])," ",""))&gt;=2,"Spread","Future"))</f>
        <v/>
      </c>
      <c r="D360" t="str">
        <f ca="1">IFERROR(INDEX(exch_map[Exch],MATCH(rtd_data[[#This Row],[Group]],exch_map[Group],0)),"")</f>
        <v/>
      </c>
      <c r="E360" s="11" t="str" cm="1">
        <f t="array" aca="1" ref="E360" ca="1">IFERROR(INDEX(_xlfn.ANCHORARRAY(contracts!$A$6),ROW()-ROW(rtd_data[#Headers]),2),"")</f>
        <v/>
      </c>
      <c r="F3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0" t="str">
        <f ca="1">IF(rtd_data[[#This Row],[Exch]]="","",IF(rtd_data[[#This Row],[Exch]]="ICE_L","ICE",rtd_data[[#This Row],[Exch]]))</f>
        <v/>
      </c>
      <c r="I360" t="str">
        <f ca="1">IF(rtd_data[[#This Row],[Product]]="","",IFERROR(INDEX(exch_map[TT_Symbol],MATCH(rtd_data[[#This Row],[Group]],exch_map[Group],0))&amp;"",""))</f>
        <v/>
      </c>
      <c r="J360" t="str">
        <f ca="1">IF(rtd_data[[#This Row],[Type]]="Future",PROPER(RIGHT(rtd_data[[#This Row],[Product]],5)),"")</f>
        <v/>
      </c>
    </row>
    <row r="361" spans="1:10" x14ac:dyDescent="0.25">
      <c r="A361" s="11" t="str" cm="1">
        <f t="array" aca="1" ref="A361" ca="1">IFERROR(INDEX(_xlfn.ANCHORARRAY(contracts!$A$6),ROW()-ROW(rtd_data[#Headers]),1),"")</f>
        <v/>
      </c>
      <c r="B3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1" t="str">
        <f ca="1">IF(rtd_data[[#This Row],[Product]]="","",IF(LEN(TRIM(rtd_data[[#This Row],[Product]]))-LEN(SUBSTITUTE(TRIM(rtd_data[[#This Row],[Product]])," ",""))&gt;=2,"Spread","Future"))</f>
        <v/>
      </c>
      <c r="D361" t="str">
        <f ca="1">IFERROR(INDEX(exch_map[Exch],MATCH(rtd_data[[#This Row],[Group]],exch_map[Group],0)),"")</f>
        <v/>
      </c>
      <c r="E361" s="11" t="str" cm="1">
        <f t="array" aca="1" ref="E361" ca="1">IFERROR(INDEX(_xlfn.ANCHORARRAY(contracts!$A$6),ROW()-ROW(rtd_data[#Headers]),2),"")</f>
        <v/>
      </c>
      <c r="F3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1" t="str">
        <f ca="1">IF(rtd_data[[#This Row],[Exch]]="","",IF(rtd_data[[#This Row],[Exch]]="ICE_L","ICE",rtd_data[[#This Row],[Exch]]))</f>
        <v/>
      </c>
      <c r="I361" t="str">
        <f ca="1">IF(rtd_data[[#This Row],[Product]]="","",IFERROR(INDEX(exch_map[TT_Symbol],MATCH(rtd_data[[#This Row],[Group]],exch_map[Group],0))&amp;"",""))</f>
        <v/>
      </c>
      <c r="J361" t="str">
        <f ca="1">IF(rtd_data[[#This Row],[Type]]="Future",PROPER(RIGHT(rtd_data[[#This Row],[Product]],5)),"")</f>
        <v/>
      </c>
    </row>
    <row r="362" spans="1:10" x14ac:dyDescent="0.25">
      <c r="A362" s="11" t="str" cm="1">
        <f t="array" aca="1" ref="A362" ca="1">IFERROR(INDEX(_xlfn.ANCHORARRAY(contracts!$A$6),ROW()-ROW(rtd_data[#Headers]),1),"")</f>
        <v/>
      </c>
      <c r="B3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2" t="str">
        <f ca="1">IF(rtd_data[[#This Row],[Product]]="","",IF(LEN(TRIM(rtd_data[[#This Row],[Product]]))-LEN(SUBSTITUTE(TRIM(rtd_data[[#This Row],[Product]])," ",""))&gt;=2,"Spread","Future"))</f>
        <v/>
      </c>
      <c r="D362" t="str">
        <f ca="1">IFERROR(INDEX(exch_map[Exch],MATCH(rtd_data[[#This Row],[Group]],exch_map[Group],0)),"")</f>
        <v/>
      </c>
      <c r="E362" s="11" t="str" cm="1">
        <f t="array" aca="1" ref="E362" ca="1">IFERROR(INDEX(_xlfn.ANCHORARRAY(contracts!$A$6),ROW()-ROW(rtd_data[#Headers]),2),"")</f>
        <v/>
      </c>
      <c r="F3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2" t="str">
        <f ca="1">IF(rtd_data[[#This Row],[Exch]]="","",IF(rtd_data[[#This Row],[Exch]]="ICE_L","ICE",rtd_data[[#This Row],[Exch]]))</f>
        <v/>
      </c>
      <c r="I362" t="str">
        <f ca="1">IF(rtd_data[[#This Row],[Product]]="","",IFERROR(INDEX(exch_map[TT_Symbol],MATCH(rtd_data[[#This Row],[Group]],exch_map[Group],0))&amp;"",""))</f>
        <v/>
      </c>
      <c r="J362" t="str">
        <f ca="1">IF(rtd_data[[#This Row],[Type]]="Future",PROPER(RIGHT(rtd_data[[#This Row],[Product]],5)),"")</f>
        <v/>
      </c>
    </row>
    <row r="363" spans="1:10" x14ac:dyDescent="0.25">
      <c r="A363" s="11" t="str" cm="1">
        <f t="array" aca="1" ref="A363" ca="1">IFERROR(INDEX(_xlfn.ANCHORARRAY(contracts!$A$6),ROW()-ROW(rtd_data[#Headers]),1),"")</f>
        <v/>
      </c>
      <c r="B3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3" t="str">
        <f ca="1">IF(rtd_data[[#This Row],[Product]]="","",IF(LEN(TRIM(rtd_data[[#This Row],[Product]]))-LEN(SUBSTITUTE(TRIM(rtd_data[[#This Row],[Product]])," ",""))&gt;=2,"Spread","Future"))</f>
        <v/>
      </c>
      <c r="D363" t="str">
        <f ca="1">IFERROR(INDEX(exch_map[Exch],MATCH(rtd_data[[#This Row],[Group]],exch_map[Group],0)),"")</f>
        <v/>
      </c>
      <c r="E363" s="11" t="str" cm="1">
        <f t="array" aca="1" ref="E363" ca="1">IFERROR(INDEX(_xlfn.ANCHORARRAY(contracts!$A$6),ROW()-ROW(rtd_data[#Headers]),2),"")</f>
        <v/>
      </c>
      <c r="F3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3" t="str">
        <f ca="1">IF(rtd_data[[#This Row],[Exch]]="","",IF(rtd_data[[#This Row],[Exch]]="ICE_L","ICE",rtd_data[[#This Row],[Exch]]))</f>
        <v/>
      </c>
      <c r="I363" t="str">
        <f ca="1">IF(rtd_data[[#This Row],[Product]]="","",IFERROR(INDEX(exch_map[TT_Symbol],MATCH(rtd_data[[#This Row],[Group]],exch_map[Group],0))&amp;"",""))</f>
        <v/>
      </c>
      <c r="J363" t="str">
        <f ca="1">IF(rtd_data[[#This Row],[Type]]="Future",PROPER(RIGHT(rtd_data[[#This Row],[Product]],5)),"")</f>
        <v/>
      </c>
    </row>
    <row r="364" spans="1:10" x14ac:dyDescent="0.25">
      <c r="A364" s="11" t="str" cm="1">
        <f t="array" aca="1" ref="A364" ca="1">IFERROR(INDEX(_xlfn.ANCHORARRAY(contracts!$A$6),ROW()-ROW(rtd_data[#Headers]),1),"")</f>
        <v/>
      </c>
      <c r="B3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4" t="str">
        <f ca="1">IF(rtd_data[[#This Row],[Product]]="","",IF(LEN(TRIM(rtd_data[[#This Row],[Product]]))-LEN(SUBSTITUTE(TRIM(rtd_data[[#This Row],[Product]])," ",""))&gt;=2,"Spread","Future"))</f>
        <v/>
      </c>
      <c r="D364" t="str">
        <f ca="1">IFERROR(INDEX(exch_map[Exch],MATCH(rtd_data[[#This Row],[Group]],exch_map[Group],0)),"")</f>
        <v/>
      </c>
      <c r="E364" s="11" t="str" cm="1">
        <f t="array" aca="1" ref="E364" ca="1">IFERROR(INDEX(_xlfn.ANCHORARRAY(contracts!$A$6),ROW()-ROW(rtd_data[#Headers]),2),"")</f>
        <v/>
      </c>
      <c r="F3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4" t="str">
        <f ca="1">IF(rtd_data[[#This Row],[Exch]]="","",IF(rtd_data[[#This Row],[Exch]]="ICE_L","ICE",rtd_data[[#This Row],[Exch]]))</f>
        <v/>
      </c>
      <c r="I364" t="str">
        <f ca="1">IF(rtd_data[[#This Row],[Product]]="","",IFERROR(INDEX(exch_map[TT_Symbol],MATCH(rtd_data[[#This Row],[Group]],exch_map[Group],0))&amp;"",""))</f>
        <v/>
      </c>
      <c r="J364" t="str">
        <f ca="1">IF(rtd_data[[#This Row],[Type]]="Future",PROPER(RIGHT(rtd_data[[#This Row],[Product]],5)),"")</f>
        <v/>
      </c>
    </row>
    <row r="365" spans="1:10" x14ac:dyDescent="0.25">
      <c r="A365" s="11" t="str" cm="1">
        <f t="array" aca="1" ref="A365" ca="1">IFERROR(INDEX(_xlfn.ANCHORARRAY(contracts!$A$6),ROW()-ROW(rtd_data[#Headers]),1),"")</f>
        <v/>
      </c>
      <c r="B3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5" t="str">
        <f ca="1">IF(rtd_data[[#This Row],[Product]]="","",IF(LEN(TRIM(rtd_data[[#This Row],[Product]]))-LEN(SUBSTITUTE(TRIM(rtd_data[[#This Row],[Product]])," ",""))&gt;=2,"Spread","Future"))</f>
        <v/>
      </c>
      <c r="D365" t="str">
        <f ca="1">IFERROR(INDEX(exch_map[Exch],MATCH(rtd_data[[#This Row],[Group]],exch_map[Group],0)),"")</f>
        <v/>
      </c>
      <c r="E365" s="11" t="str" cm="1">
        <f t="array" aca="1" ref="E365" ca="1">IFERROR(INDEX(_xlfn.ANCHORARRAY(contracts!$A$6),ROW()-ROW(rtd_data[#Headers]),2),"")</f>
        <v/>
      </c>
      <c r="F3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5" t="str">
        <f ca="1">IF(rtd_data[[#This Row],[Exch]]="","",IF(rtd_data[[#This Row],[Exch]]="ICE_L","ICE",rtd_data[[#This Row],[Exch]]))</f>
        <v/>
      </c>
      <c r="I365" t="str">
        <f ca="1">IF(rtd_data[[#This Row],[Product]]="","",IFERROR(INDEX(exch_map[TT_Symbol],MATCH(rtd_data[[#This Row],[Group]],exch_map[Group],0))&amp;"",""))</f>
        <v/>
      </c>
      <c r="J365" t="str">
        <f ca="1">IF(rtd_data[[#This Row],[Type]]="Future",PROPER(RIGHT(rtd_data[[#This Row],[Product]],5)),"")</f>
        <v/>
      </c>
    </row>
    <row r="366" spans="1:10" x14ac:dyDescent="0.25">
      <c r="A366" s="11" t="str" cm="1">
        <f t="array" aca="1" ref="A366" ca="1">IFERROR(INDEX(_xlfn.ANCHORARRAY(contracts!$A$6),ROW()-ROW(rtd_data[#Headers]),1),"")</f>
        <v/>
      </c>
      <c r="B3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6" t="str">
        <f ca="1">IF(rtd_data[[#This Row],[Product]]="","",IF(LEN(TRIM(rtd_data[[#This Row],[Product]]))-LEN(SUBSTITUTE(TRIM(rtd_data[[#This Row],[Product]])," ",""))&gt;=2,"Spread","Future"))</f>
        <v/>
      </c>
      <c r="D366" t="str">
        <f ca="1">IFERROR(INDEX(exch_map[Exch],MATCH(rtd_data[[#This Row],[Group]],exch_map[Group],0)),"")</f>
        <v/>
      </c>
      <c r="E366" s="11" t="str" cm="1">
        <f t="array" aca="1" ref="E366" ca="1">IFERROR(INDEX(_xlfn.ANCHORARRAY(contracts!$A$6),ROW()-ROW(rtd_data[#Headers]),2),"")</f>
        <v/>
      </c>
      <c r="F3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6" t="str">
        <f ca="1">IF(rtd_data[[#This Row],[Exch]]="","",IF(rtd_data[[#This Row],[Exch]]="ICE_L","ICE",rtd_data[[#This Row],[Exch]]))</f>
        <v/>
      </c>
      <c r="I366" t="str">
        <f ca="1">IF(rtd_data[[#This Row],[Product]]="","",IFERROR(INDEX(exch_map[TT_Symbol],MATCH(rtd_data[[#This Row],[Group]],exch_map[Group],0))&amp;"",""))</f>
        <v/>
      </c>
      <c r="J366" t="str">
        <f ca="1">IF(rtd_data[[#This Row],[Type]]="Future",PROPER(RIGHT(rtd_data[[#This Row],[Product]],5)),"")</f>
        <v/>
      </c>
    </row>
    <row r="367" spans="1:10" x14ac:dyDescent="0.25">
      <c r="A367" s="11" t="str" cm="1">
        <f t="array" aca="1" ref="A367" ca="1">IFERROR(INDEX(_xlfn.ANCHORARRAY(contracts!$A$6),ROW()-ROW(rtd_data[#Headers]),1),"")</f>
        <v/>
      </c>
      <c r="B3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7" t="str">
        <f ca="1">IF(rtd_data[[#This Row],[Product]]="","",IF(LEN(TRIM(rtd_data[[#This Row],[Product]]))-LEN(SUBSTITUTE(TRIM(rtd_data[[#This Row],[Product]])," ",""))&gt;=2,"Spread","Future"))</f>
        <v/>
      </c>
      <c r="D367" t="str">
        <f ca="1">IFERROR(INDEX(exch_map[Exch],MATCH(rtd_data[[#This Row],[Group]],exch_map[Group],0)),"")</f>
        <v/>
      </c>
      <c r="E367" s="11" t="str" cm="1">
        <f t="array" aca="1" ref="E367" ca="1">IFERROR(INDEX(_xlfn.ANCHORARRAY(contracts!$A$6),ROW()-ROW(rtd_data[#Headers]),2),"")</f>
        <v/>
      </c>
      <c r="F3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7" t="str">
        <f ca="1">IF(rtd_data[[#This Row],[Exch]]="","",IF(rtd_data[[#This Row],[Exch]]="ICE_L","ICE",rtd_data[[#This Row],[Exch]]))</f>
        <v/>
      </c>
      <c r="I367" t="str">
        <f ca="1">IF(rtd_data[[#This Row],[Product]]="","",IFERROR(INDEX(exch_map[TT_Symbol],MATCH(rtd_data[[#This Row],[Group]],exch_map[Group],0))&amp;"",""))</f>
        <v/>
      </c>
      <c r="J367" t="str">
        <f ca="1">IF(rtd_data[[#This Row],[Type]]="Future",PROPER(RIGHT(rtd_data[[#This Row],[Product]],5)),"")</f>
        <v/>
      </c>
    </row>
    <row r="368" spans="1:10" x14ac:dyDescent="0.25">
      <c r="A368" s="11" t="str" cm="1">
        <f t="array" aca="1" ref="A368" ca="1">IFERROR(INDEX(_xlfn.ANCHORARRAY(contracts!$A$6),ROW()-ROW(rtd_data[#Headers]),1),"")</f>
        <v/>
      </c>
      <c r="B3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8" t="str">
        <f ca="1">IF(rtd_data[[#This Row],[Product]]="","",IF(LEN(TRIM(rtd_data[[#This Row],[Product]]))-LEN(SUBSTITUTE(TRIM(rtd_data[[#This Row],[Product]])," ",""))&gt;=2,"Spread","Future"))</f>
        <v/>
      </c>
      <c r="D368" t="str">
        <f ca="1">IFERROR(INDEX(exch_map[Exch],MATCH(rtd_data[[#This Row],[Group]],exch_map[Group],0)),"")</f>
        <v/>
      </c>
      <c r="E368" s="11" t="str" cm="1">
        <f t="array" aca="1" ref="E368" ca="1">IFERROR(INDEX(_xlfn.ANCHORARRAY(contracts!$A$6),ROW()-ROW(rtd_data[#Headers]),2),"")</f>
        <v/>
      </c>
      <c r="F3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8" t="str">
        <f ca="1">IF(rtd_data[[#This Row],[Exch]]="","",IF(rtd_data[[#This Row],[Exch]]="ICE_L","ICE",rtd_data[[#This Row],[Exch]]))</f>
        <v/>
      </c>
      <c r="I368" t="str">
        <f ca="1">IF(rtd_data[[#This Row],[Product]]="","",IFERROR(INDEX(exch_map[TT_Symbol],MATCH(rtd_data[[#This Row],[Group]],exch_map[Group],0))&amp;"",""))</f>
        <v/>
      </c>
      <c r="J368" t="str">
        <f ca="1">IF(rtd_data[[#This Row],[Type]]="Future",PROPER(RIGHT(rtd_data[[#This Row],[Product]],5)),"")</f>
        <v/>
      </c>
    </row>
    <row r="369" spans="1:10" x14ac:dyDescent="0.25">
      <c r="A369" s="11" t="str" cm="1">
        <f t="array" aca="1" ref="A369" ca="1">IFERROR(INDEX(_xlfn.ANCHORARRAY(contracts!$A$6),ROW()-ROW(rtd_data[#Headers]),1),"")</f>
        <v/>
      </c>
      <c r="B3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9" t="str">
        <f ca="1">IF(rtd_data[[#This Row],[Product]]="","",IF(LEN(TRIM(rtd_data[[#This Row],[Product]]))-LEN(SUBSTITUTE(TRIM(rtd_data[[#This Row],[Product]])," ",""))&gt;=2,"Spread","Future"))</f>
        <v/>
      </c>
      <c r="D369" t="str">
        <f ca="1">IFERROR(INDEX(exch_map[Exch],MATCH(rtd_data[[#This Row],[Group]],exch_map[Group],0)),"")</f>
        <v/>
      </c>
      <c r="E369" s="11" t="str" cm="1">
        <f t="array" aca="1" ref="E369" ca="1">IFERROR(INDEX(_xlfn.ANCHORARRAY(contracts!$A$6),ROW()-ROW(rtd_data[#Headers]),2),"")</f>
        <v/>
      </c>
      <c r="F3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9" t="str">
        <f ca="1">IF(rtd_data[[#This Row],[Exch]]="","",IF(rtd_data[[#This Row],[Exch]]="ICE_L","ICE",rtd_data[[#This Row],[Exch]]))</f>
        <v/>
      </c>
      <c r="I369" t="str">
        <f ca="1">IF(rtd_data[[#This Row],[Product]]="","",IFERROR(INDEX(exch_map[TT_Symbol],MATCH(rtd_data[[#This Row],[Group]],exch_map[Group],0))&amp;"",""))</f>
        <v/>
      </c>
      <c r="J369" t="str">
        <f ca="1">IF(rtd_data[[#This Row],[Type]]="Future",PROPER(RIGHT(rtd_data[[#This Row],[Product]],5)),"")</f>
        <v/>
      </c>
    </row>
    <row r="370" spans="1:10" x14ac:dyDescent="0.25">
      <c r="A370" s="11" t="str" cm="1">
        <f t="array" aca="1" ref="A370" ca="1">IFERROR(INDEX(_xlfn.ANCHORARRAY(contracts!$A$6),ROW()-ROW(rtd_data[#Headers]),1),"")</f>
        <v/>
      </c>
      <c r="B3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0" t="str">
        <f ca="1">IF(rtd_data[[#This Row],[Product]]="","",IF(LEN(TRIM(rtd_data[[#This Row],[Product]]))-LEN(SUBSTITUTE(TRIM(rtd_data[[#This Row],[Product]])," ",""))&gt;=2,"Spread","Future"))</f>
        <v/>
      </c>
      <c r="D370" t="str">
        <f ca="1">IFERROR(INDEX(exch_map[Exch],MATCH(rtd_data[[#This Row],[Group]],exch_map[Group],0)),"")</f>
        <v/>
      </c>
      <c r="E370" s="11" t="str" cm="1">
        <f t="array" aca="1" ref="E370" ca="1">IFERROR(INDEX(_xlfn.ANCHORARRAY(contracts!$A$6),ROW()-ROW(rtd_data[#Headers]),2),"")</f>
        <v/>
      </c>
      <c r="F3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0" t="str">
        <f ca="1">IF(rtd_data[[#This Row],[Exch]]="","",IF(rtd_data[[#This Row],[Exch]]="ICE_L","ICE",rtd_data[[#This Row],[Exch]]))</f>
        <v/>
      </c>
      <c r="I370" t="str">
        <f ca="1">IF(rtd_data[[#This Row],[Product]]="","",IFERROR(INDEX(exch_map[TT_Symbol],MATCH(rtd_data[[#This Row],[Group]],exch_map[Group],0))&amp;"",""))</f>
        <v/>
      </c>
      <c r="J370" t="str">
        <f ca="1">IF(rtd_data[[#This Row],[Type]]="Future",PROPER(RIGHT(rtd_data[[#This Row],[Product]],5)),"")</f>
        <v/>
      </c>
    </row>
    <row r="371" spans="1:10" x14ac:dyDescent="0.25">
      <c r="A371" s="11" t="str" cm="1">
        <f t="array" aca="1" ref="A371" ca="1">IFERROR(INDEX(_xlfn.ANCHORARRAY(contracts!$A$6),ROW()-ROW(rtd_data[#Headers]),1),"")</f>
        <v/>
      </c>
      <c r="B3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1" t="str">
        <f ca="1">IF(rtd_data[[#This Row],[Product]]="","",IF(LEN(TRIM(rtd_data[[#This Row],[Product]]))-LEN(SUBSTITUTE(TRIM(rtd_data[[#This Row],[Product]])," ",""))&gt;=2,"Spread","Future"))</f>
        <v/>
      </c>
      <c r="D371" t="str">
        <f ca="1">IFERROR(INDEX(exch_map[Exch],MATCH(rtd_data[[#This Row],[Group]],exch_map[Group],0)),"")</f>
        <v/>
      </c>
      <c r="E371" s="11" t="str" cm="1">
        <f t="array" aca="1" ref="E371" ca="1">IFERROR(INDEX(_xlfn.ANCHORARRAY(contracts!$A$6),ROW()-ROW(rtd_data[#Headers]),2),"")</f>
        <v/>
      </c>
      <c r="F3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1" t="str">
        <f ca="1">IF(rtd_data[[#This Row],[Exch]]="","",IF(rtd_data[[#This Row],[Exch]]="ICE_L","ICE",rtd_data[[#This Row],[Exch]]))</f>
        <v/>
      </c>
      <c r="I371" t="str">
        <f ca="1">IF(rtd_data[[#This Row],[Product]]="","",IFERROR(INDEX(exch_map[TT_Symbol],MATCH(rtd_data[[#This Row],[Group]],exch_map[Group],0))&amp;"",""))</f>
        <v/>
      </c>
      <c r="J371" t="str">
        <f ca="1">IF(rtd_data[[#This Row],[Type]]="Future",PROPER(RIGHT(rtd_data[[#This Row],[Product]],5)),"")</f>
        <v/>
      </c>
    </row>
    <row r="372" spans="1:10" x14ac:dyDescent="0.25">
      <c r="A372" s="11" t="str" cm="1">
        <f t="array" aca="1" ref="A372" ca="1">IFERROR(INDEX(_xlfn.ANCHORARRAY(contracts!$A$6),ROW()-ROW(rtd_data[#Headers]),1),"")</f>
        <v/>
      </c>
      <c r="B3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2" t="str">
        <f ca="1">IF(rtd_data[[#This Row],[Product]]="","",IF(LEN(TRIM(rtd_data[[#This Row],[Product]]))-LEN(SUBSTITUTE(TRIM(rtd_data[[#This Row],[Product]])," ",""))&gt;=2,"Spread","Future"))</f>
        <v/>
      </c>
      <c r="D372" t="str">
        <f ca="1">IFERROR(INDEX(exch_map[Exch],MATCH(rtd_data[[#This Row],[Group]],exch_map[Group],0)),"")</f>
        <v/>
      </c>
      <c r="E372" s="11" t="str" cm="1">
        <f t="array" aca="1" ref="E372" ca="1">IFERROR(INDEX(_xlfn.ANCHORARRAY(contracts!$A$6),ROW()-ROW(rtd_data[#Headers]),2),"")</f>
        <v/>
      </c>
      <c r="F3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2" t="str">
        <f ca="1">IF(rtd_data[[#This Row],[Exch]]="","",IF(rtd_data[[#This Row],[Exch]]="ICE_L","ICE",rtd_data[[#This Row],[Exch]]))</f>
        <v/>
      </c>
      <c r="I372" t="str">
        <f ca="1">IF(rtd_data[[#This Row],[Product]]="","",IFERROR(INDEX(exch_map[TT_Symbol],MATCH(rtd_data[[#This Row],[Group]],exch_map[Group],0))&amp;"",""))</f>
        <v/>
      </c>
      <c r="J372" t="str">
        <f ca="1">IF(rtd_data[[#This Row],[Type]]="Future",PROPER(RIGHT(rtd_data[[#This Row],[Product]],5)),"")</f>
        <v/>
      </c>
    </row>
    <row r="373" spans="1:10" x14ac:dyDescent="0.25">
      <c r="A373" s="11" t="str" cm="1">
        <f t="array" aca="1" ref="A373" ca="1">IFERROR(INDEX(_xlfn.ANCHORARRAY(contracts!$A$6),ROW()-ROW(rtd_data[#Headers]),1),"")</f>
        <v/>
      </c>
      <c r="B3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3" t="str">
        <f ca="1">IF(rtd_data[[#This Row],[Product]]="","",IF(LEN(TRIM(rtd_data[[#This Row],[Product]]))-LEN(SUBSTITUTE(TRIM(rtd_data[[#This Row],[Product]])," ",""))&gt;=2,"Spread","Future"))</f>
        <v/>
      </c>
      <c r="D373" t="str">
        <f ca="1">IFERROR(INDEX(exch_map[Exch],MATCH(rtd_data[[#This Row],[Group]],exch_map[Group],0)),"")</f>
        <v/>
      </c>
      <c r="E373" s="11" t="str" cm="1">
        <f t="array" aca="1" ref="E373" ca="1">IFERROR(INDEX(_xlfn.ANCHORARRAY(contracts!$A$6),ROW()-ROW(rtd_data[#Headers]),2),"")</f>
        <v/>
      </c>
      <c r="F3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3" t="str">
        <f ca="1">IF(rtd_data[[#This Row],[Exch]]="","",IF(rtd_data[[#This Row],[Exch]]="ICE_L","ICE",rtd_data[[#This Row],[Exch]]))</f>
        <v/>
      </c>
      <c r="I373" t="str">
        <f ca="1">IF(rtd_data[[#This Row],[Product]]="","",IFERROR(INDEX(exch_map[TT_Symbol],MATCH(rtd_data[[#This Row],[Group]],exch_map[Group],0))&amp;"",""))</f>
        <v/>
      </c>
      <c r="J373" t="str">
        <f ca="1">IF(rtd_data[[#This Row],[Type]]="Future",PROPER(RIGHT(rtd_data[[#This Row],[Product]],5)),"")</f>
        <v/>
      </c>
    </row>
    <row r="374" spans="1:10" x14ac:dyDescent="0.25">
      <c r="A374" s="11" t="str" cm="1">
        <f t="array" aca="1" ref="A374" ca="1">IFERROR(INDEX(_xlfn.ANCHORARRAY(contracts!$A$6),ROW()-ROW(rtd_data[#Headers]),1),"")</f>
        <v/>
      </c>
      <c r="B3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4" t="str">
        <f ca="1">IF(rtd_data[[#This Row],[Product]]="","",IF(LEN(TRIM(rtd_data[[#This Row],[Product]]))-LEN(SUBSTITUTE(TRIM(rtd_data[[#This Row],[Product]])," ",""))&gt;=2,"Spread","Future"))</f>
        <v/>
      </c>
      <c r="D374" t="str">
        <f ca="1">IFERROR(INDEX(exch_map[Exch],MATCH(rtd_data[[#This Row],[Group]],exch_map[Group],0)),"")</f>
        <v/>
      </c>
      <c r="E374" s="11" t="str" cm="1">
        <f t="array" aca="1" ref="E374" ca="1">IFERROR(INDEX(_xlfn.ANCHORARRAY(contracts!$A$6),ROW()-ROW(rtd_data[#Headers]),2),"")</f>
        <v/>
      </c>
      <c r="F3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4" t="str">
        <f ca="1">IF(rtd_data[[#This Row],[Exch]]="","",IF(rtd_data[[#This Row],[Exch]]="ICE_L","ICE",rtd_data[[#This Row],[Exch]]))</f>
        <v/>
      </c>
      <c r="I374" t="str">
        <f ca="1">IF(rtd_data[[#This Row],[Product]]="","",IFERROR(INDEX(exch_map[TT_Symbol],MATCH(rtd_data[[#This Row],[Group]],exch_map[Group],0))&amp;"",""))</f>
        <v/>
      </c>
      <c r="J374" t="str">
        <f ca="1">IF(rtd_data[[#This Row],[Type]]="Future",PROPER(RIGHT(rtd_data[[#This Row],[Product]],5)),"")</f>
        <v/>
      </c>
    </row>
    <row r="375" spans="1:10" x14ac:dyDescent="0.25">
      <c r="A375" s="11" t="str" cm="1">
        <f t="array" aca="1" ref="A375" ca="1">IFERROR(INDEX(_xlfn.ANCHORARRAY(contracts!$A$6),ROW()-ROW(rtd_data[#Headers]),1),"")</f>
        <v/>
      </c>
      <c r="B3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5" t="str">
        <f ca="1">IF(rtd_data[[#This Row],[Product]]="","",IF(LEN(TRIM(rtd_data[[#This Row],[Product]]))-LEN(SUBSTITUTE(TRIM(rtd_data[[#This Row],[Product]])," ",""))&gt;=2,"Spread","Future"))</f>
        <v/>
      </c>
      <c r="D375" t="str">
        <f ca="1">IFERROR(INDEX(exch_map[Exch],MATCH(rtd_data[[#This Row],[Group]],exch_map[Group],0)),"")</f>
        <v/>
      </c>
      <c r="E375" s="11" t="str" cm="1">
        <f t="array" aca="1" ref="E375" ca="1">IFERROR(INDEX(_xlfn.ANCHORARRAY(contracts!$A$6),ROW()-ROW(rtd_data[#Headers]),2),"")</f>
        <v/>
      </c>
      <c r="F3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5" t="str">
        <f ca="1">IF(rtd_data[[#This Row],[Exch]]="","",IF(rtd_data[[#This Row],[Exch]]="ICE_L","ICE",rtd_data[[#This Row],[Exch]]))</f>
        <v/>
      </c>
      <c r="I375" t="str">
        <f ca="1">IF(rtd_data[[#This Row],[Product]]="","",IFERROR(INDEX(exch_map[TT_Symbol],MATCH(rtd_data[[#This Row],[Group]],exch_map[Group],0))&amp;"",""))</f>
        <v/>
      </c>
      <c r="J375" t="str">
        <f ca="1">IF(rtd_data[[#This Row],[Type]]="Future",PROPER(RIGHT(rtd_data[[#This Row],[Product]],5)),"")</f>
        <v/>
      </c>
    </row>
    <row r="376" spans="1:10" x14ac:dyDescent="0.25">
      <c r="A376" s="11" t="str" cm="1">
        <f t="array" aca="1" ref="A376" ca="1">IFERROR(INDEX(_xlfn.ANCHORARRAY(contracts!$A$6),ROW()-ROW(rtd_data[#Headers]),1),"")</f>
        <v/>
      </c>
      <c r="B3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6" t="str">
        <f ca="1">IF(rtd_data[[#This Row],[Product]]="","",IF(LEN(TRIM(rtd_data[[#This Row],[Product]]))-LEN(SUBSTITUTE(TRIM(rtd_data[[#This Row],[Product]])," ",""))&gt;=2,"Spread","Future"))</f>
        <v/>
      </c>
      <c r="D376" t="str">
        <f ca="1">IFERROR(INDEX(exch_map[Exch],MATCH(rtd_data[[#This Row],[Group]],exch_map[Group],0)),"")</f>
        <v/>
      </c>
      <c r="E376" s="11" t="str" cm="1">
        <f t="array" aca="1" ref="E376" ca="1">IFERROR(INDEX(_xlfn.ANCHORARRAY(contracts!$A$6),ROW()-ROW(rtd_data[#Headers]),2),"")</f>
        <v/>
      </c>
      <c r="F3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6" t="str">
        <f ca="1">IF(rtd_data[[#This Row],[Exch]]="","",IF(rtd_data[[#This Row],[Exch]]="ICE_L","ICE",rtd_data[[#This Row],[Exch]]))</f>
        <v/>
      </c>
      <c r="I376" t="str">
        <f ca="1">IF(rtd_data[[#This Row],[Product]]="","",IFERROR(INDEX(exch_map[TT_Symbol],MATCH(rtd_data[[#This Row],[Group]],exch_map[Group],0))&amp;"",""))</f>
        <v/>
      </c>
      <c r="J376" t="str">
        <f ca="1">IF(rtd_data[[#This Row],[Type]]="Future",PROPER(RIGHT(rtd_data[[#This Row],[Product]],5)),"")</f>
        <v/>
      </c>
    </row>
    <row r="377" spans="1:10" x14ac:dyDescent="0.25">
      <c r="A377" s="11" t="str" cm="1">
        <f t="array" aca="1" ref="A377" ca="1">IFERROR(INDEX(_xlfn.ANCHORARRAY(contracts!$A$6),ROW()-ROW(rtd_data[#Headers]),1),"")</f>
        <v/>
      </c>
      <c r="B3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7" t="str">
        <f ca="1">IF(rtd_data[[#This Row],[Product]]="","",IF(LEN(TRIM(rtd_data[[#This Row],[Product]]))-LEN(SUBSTITUTE(TRIM(rtd_data[[#This Row],[Product]])," ",""))&gt;=2,"Spread","Future"))</f>
        <v/>
      </c>
      <c r="D377" t="str">
        <f ca="1">IFERROR(INDEX(exch_map[Exch],MATCH(rtd_data[[#This Row],[Group]],exch_map[Group],0)),"")</f>
        <v/>
      </c>
      <c r="E377" s="11" t="str" cm="1">
        <f t="array" aca="1" ref="E377" ca="1">IFERROR(INDEX(_xlfn.ANCHORARRAY(contracts!$A$6),ROW()-ROW(rtd_data[#Headers]),2),"")</f>
        <v/>
      </c>
      <c r="F3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7" t="str">
        <f ca="1">IF(rtd_data[[#This Row],[Exch]]="","",IF(rtd_data[[#This Row],[Exch]]="ICE_L","ICE",rtd_data[[#This Row],[Exch]]))</f>
        <v/>
      </c>
      <c r="I377" t="str">
        <f ca="1">IF(rtd_data[[#This Row],[Product]]="","",IFERROR(INDEX(exch_map[TT_Symbol],MATCH(rtd_data[[#This Row],[Group]],exch_map[Group],0))&amp;"",""))</f>
        <v/>
      </c>
      <c r="J377" t="str">
        <f ca="1">IF(rtd_data[[#This Row],[Type]]="Future",PROPER(RIGHT(rtd_data[[#This Row],[Product]],5)),"")</f>
        <v/>
      </c>
    </row>
    <row r="378" spans="1:10" x14ac:dyDescent="0.25">
      <c r="A378" s="11" t="str" cm="1">
        <f t="array" aca="1" ref="A378" ca="1">IFERROR(INDEX(_xlfn.ANCHORARRAY(contracts!$A$6),ROW()-ROW(rtd_data[#Headers]),1),"")</f>
        <v/>
      </c>
      <c r="B3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8" t="str">
        <f ca="1">IF(rtd_data[[#This Row],[Product]]="","",IF(LEN(TRIM(rtd_data[[#This Row],[Product]]))-LEN(SUBSTITUTE(TRIM(rtd_data[[#This Row],[Product]])," ",""))&gt;=2,"Spread","Future"))</f>
        <v/>
      </c>
      <c r="D378" t="str">
        <f ca="1">IFERROR(INDEX(exch_map[Exch],MATCH(rtd_data[[#This Row],[Group]],exch_map[Group],0)),"")</f>
        <v/>
      </c>
      <c r="E378" s="11" t="str" cm="1">
        <f t="array" aca="1" ref="E378" ca="1">IFERROR(INDEX(_xlfn.ANCHORARRAY(contracts!$A$6),ROW()-ROW(rtd_data[#Headers]),2),"")</f>
        <v/>
      </c>
      <c r="F3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8" t="str">
        <f ca="1">IF(rtd_data[[#This Row],[Exch]]="","",IF(rtd_data[[#This Row],[Exch]]="ICE_L","ICE",rtd_data[[#This Row],[Exch]]))</f>
        <v/>
      </c>
      <c r="I378" t="str">
        <f ca="1">IF(rtd_data[[#This Row],[Product]]="","",IFERROR(INDEX(exch_map[TT_Symbol],MATCH(rtd_data[[#This Row],[Group]],exch_map[Group],0))&amp;"",""))</f>
        <v/>
      </c>
      <c r="J378" t="str">
        <f ca="1">IF(rtd_data[[#This Row],[Type]]="Future",PROPER(RIGHT(rtd_data[[#This Row],[Product]],5)),"")</f>
        <v/>
      </c>
    </row>
    <row r="379" spans="1:10" x14ac:dyDescent="0.25">
      <c r="A379" s="11" t="str" cm="1">
        <f t="array" aca="1" ref="A379" ca="1">IFERROR(INDEX(_xlfn.ANCHORARRAY(contracts!$A$6),ROW()-ROW(rtd_data[#Headers]),1),"")</f>
        <v/>
      </c>
      <c r="B3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9" t="str">
        <f ca="1">IF(rtd_data[[#This Row],[Product]]="","",IF(LEN(TRIM(rtd_data[[#This Row],[Product]]))-LEN(SUBSTITUTE(TRIM(rtd_data[[#This Row],[Product]])," ",""))&gt;=2,"Spread","Future"))</f>
        <v/>
      </c>
      <c r="D379" t="str">
        <f ca="1">IFERROR(INDEX(exch_map[Exch],MATCH(rtd_data[[#This Row],[Group]],exch_map[Group],0)),"")</f>
        <v/>
      </c>
      <c r="E379" s="11" t="str" cm="1">
        <f t="array" aca="1" ref="E379" ca="1">IFERROR(INDEX(_xlfn.ANCHORARRAY(contracts!$A$6),ROW()-ROW(rtd_data[#Headers]),2),"")</f>
        <v/>
      </c>
      <c r="F3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9" t="str">
        <f ca="1">IF(rtd_data[[#This Row],[Exch]]="","",IF(rtd_data[[#This Row],[Exch]]="ICE_L","ICE",rtd_data[[#This Row],[Exch]]))</f>
        <v/>
      </c>
      <c r="I379" t="str">
        <f ca="1">IF(rtd_data[[#This Row],[Product]]="","",IFERROR(INDEX(exch_map[TT_Symbol],MATCH(rtd_data[[#This Row],[Group]],exch_map[Group],0))&amp;"",""))</f>
        <v/>
      </c>
      <c r="J379" t="str">
        <f ca="1">IF(rtd_data[[#This Row],[Type]]="Future",PROPER(RIGHT(rtd_data[[#This Row],[Product]],5)),"")</f>
        <v/>
      </c>
    </row>
    <row r="380" spans="1:10" x14ac:dyDescent="0.25">
      <c r="A380" s="11" t="str" cm="1">
        <f t="array" aca="1" ref="A380" ca="1">IFERROR(INDEX(_xlfn.ANCHORARRAY(contracts!$A$6),ROW()-ROW(rtd_data[#Headers]),1),"")</f>
        <v/>
      </c>
      <c r="B3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0" t="str">
        <f ca="1">IF(rtd_data[[#This Row],[Product]]="","",IF(LEN(TRIM(rtd_data[[#This Row],[Product]]))-LEN(SUBSTITUTE(TRIM(rtd_data[[#This Row],[Product]])," ",""))&gt;=2,"Spread","Future"))</f>
        <v/>
      </c>
      <c r="D380" t="str">
        <f ca="1">IFERROR(INDEX(exch_map[Exch],MATCH(rtd_data[[#This Row],[Group]],exch_map[Group],0)),"")</f>
        <v/>
      </c>
      <c r="E380" s="11" t="str" cm="1">
        <f t="array" aca="1" ref="E380" ca="1">IFERROR(INDEX(_xlfn.ANCHORARRAY(contracts!$A$6),ROW()-ROW(rtd_data[#Headers]),2),"")</f>
        <v/>
      </c>
      <c r="F3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0" t="str">
        <f ca="1">IF(rtd_data[[#This Row],[Exch]]="","",IF(rtd_data[[#This Row],[Exch]]="ICE_L","ICE",rtd_data[[#This Row],[Exch]]))</f>
        <v/>
      </c>
      <c r="I380" t="str">
        <f ca="1">IF(rtd_data[[#This Row],[Product]]="","",IFERROR(INDEX(exch_map[TT_Symbol],MATCH(rtd_data[[#This Row],[Group]],exch_map[Group],0))&amp;"",""))</f>
        <v/>
      </c>
      <c r="J380" t="str">
        <f ca="1">IF(rtd_data[[#This Row],[Type]]="Future",PROPER(RIGHT(rtd_data[[#This Row],[Product]],5)),"")</f>
        <v/>
      </c>
    </row>
    <row r="381" spans="1:10" x14ac:dyDescent="0.25">
      <c r="A381" s="11" t="str" cm="1">
        <f t="array" aca="1" ref="A381" ca="1">IFERROR(INDEX(_xlfn.ANCHORARRAY(contracts!$A$6),ROW()-ROW(rtd_data[#Headers]),1),"")</f>
        <v/>
      </c>
      <c r="B3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1" t="str">
        <f ca="1">IF(rtd_data[[#This Row],[Product]]="","",IF(LEN(TRIM(rtd_data[[#This Row],[Product]]))-LEN(SUBSTITUTE(TRIM(rtd_data[[#This Row],[Product]])," ",""))&gt;=2,"Spread","Future"))</f>
        <v/>
      </c>
      <c r="D381" t="str">
        <f ca="1">IFERROR(INDEX(exch_map[Exch],MATCH(rtd_data[[#This Row],[Group]],exch_map[Group],0)),"")</f>
        <v/>
      </c>
      <c r="E381" s="11" t="str" cm="1">
        <f t="array" aca="1" ref="E381" ca="1">IFERROR(INDEX(_xlfn.ANCHORARRAY(contracts!$A$6),ROW()-ROW(rtd_data[#Headers]),2),"")</f>
        <v/>
      </c>
      <c r="F3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1" t="str">
        <f ca="1">IF(rtd_data[[#This Row],[Exch]]="","",IF(rtd_data[[#This Row],[Exch]]="ICE_L","ICE",rtd_data[[#This Row],[Exch]]))</f>
        <v/>
      </c>
      <c r="I381" t="str">
        <f ca="1">IF(rtd_data[[#This Row],[Product]]="","",IFERROR(INDEX(exch_map[TT_Symbol],MATCH(rtd_data[[#This Row],[Group]],exch_map[Group],0))&amp;"",""))</f>
        <v/>
      </c>
      <c r="J381" t="str">
        <f ca="1">IF(rtd_data[[#This Row],[Type]]="Future",PROPER(RIGHT(rtd_data[[#This Row],[Product]],5)),"")</f>
        <v/>
      </c>
    </row>
    <row r="382" spans="1:10" x14ac:dyDescent="0.25">
      <c r="A382" s="11" t="str" cm="1">
        <f t="array" aca="1" ref="A382" ca="1">IFERROR(INDEX(_xlfn.ANCHORARRAY(contracts!$A$6),ROW()-ROW(rtd_data[#Headers]),1),"")</f>
        <v/>
      </c>
      <c r="B3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2" t="str">
        <f ca="1">IF(rtd_data[[#This Row],[Product]]="","",IF(LEN(TRIM(rtd_data[[#This Row],[Product]]))-LEN(SUBSTITUTE(TRIM(rtd_data[[#This Row],[Product]])," ",""))&gt;=2,"Spread","Future"))</f>
        <v/>
      </c>
      <c r="D382" t="str">
        <f ca="1">IFERROR(INDEX(exch_map[Exch],MATCH(rtd_data[[#This Row],[Group]],exch_map[Group],0)),"")</f>
        <v/>
      </c>
      <c r="E382" s="11" t="str" cm="1">
        <f t="array" aca="1" ref="E382" ca="1">IFERROR(INDEX(_xlfn.ANCHORARRAY(contracts!$A$6),ROW()-ROW(rtd_data[#Headers]),2),"")</f>
        <v/>
      </c>
      <c r="F3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2" t="str">
        <f ca="1">IF(rtd_data[[#This Row],[Exch]]="","",IF(rtd_data[[#This Row],[Exch]]="ICE_L","ICE",rtd_data[[#This Row],[Exch]]))</f>
        <v/>
      </c>
      <c r="I382" t="str">
        <f ca="1">IF(rtd_data[[#This Row],[Product]]="","",IFERROR(INDEX(exch_map[TT_Symbol],MATCH(rtd_data[[#This Row],[Group]],exch_map[Group],0))&amp;"",""))</f>
        <v/>
      </c>
      <c r="J382" t="str">
        <f ca="1">IF(rtd_data[[#This Row],[Type]]="Future",PROPER(RIGHT(rtd_data[[#This Row],[Product]],5)),"")</f>
        <v/>
      </c>
    </row>
    <row r="383" spans="1:10" x14ac:dyDescent="0.25">
      <c r="A383" s="11" t="str" cm="1">
        <f t="array" aca="1" ref="A383" ca="1">IFERROR(INDEX(_xlfn.ANCHORARRAY(contracts!$A$6),ROW()-ROW(rtd_data[#Headers]),1),"")</f>
        <v/>
      </c>
      <c r="B3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3" t="str">
        <f ca="1">IF(rtd_data[[#This Row],[Product]]="","",IF(LEN(TRIM(rtd_data[[#This Row],[Product]]))-LEN(SUBSTITUTE(TRIM(rtd_data[[#This Row],[Product]])," ",""))&gt;=2,"Spread","Future"))</f>
        <v/>
      </c>
      <c r="D383" t="str">
        <f ca="1">IFERROR(INDEX(exch_map[Exch],MATCH(rtd_data[[#This Row],[Group]],exch_map[Group],0)),"")</f>
        <v/>
      </c>
      <c r="E383" s="11" t="str" cm="1">
        <f t="array" aca="1" ref="E383" ca="1">IFERROR(INDEX(_xlfn.ANCHORARRAY(contracts!$A$6),ROW()-ROW(rtd_data[#Headers]),2),"")</f>
        <v/>
      </c>
      <c r="F3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3" t="str">
        <f ca="1">IF(rtd_data[[#This Row],[Exch]]="","",IF(rtd_data[[#This Row],[Exch]]="ICE_L","ICE",rtd_data[[#This Row],[Exch]]))</f>
        <v/>
      </c>
      <c r="I383" t="str">
        <f ca="1">IF(rtd_data[[#This Row],[Product]]="","",IFERROR(INDEX(exch_map[TT_Symbol],MATCH(rtd_data[[#This Row],[Group]],exch_map[Group],0))&amp;"",""))</f>
        <v/>
      </c>
      <c r="J383" t="str">
        <f ca="1">IF(rtd_data[[#This Row],[Type]]="Future",PROPER(RIGHT(rtd_data[[#This Row],[Product]],5)),"")</f>
        <v/>
      </c>
    </row>
    <row r="384" spans="1:10" x14ac:dyDescent="0.25">
      <c r="A384" s="11" t="str" cm="1">
        <f t="array" aca="1" ref="A384" ca="1">IFERROR(INDEX(_xlfn.ANCHORARRAY(contracts!$A$6),ROW()-ROW(rtd_data[#Headers]),1),"")</f>
        <v/>
      </c>
      <c r="B3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4" t="str">
        <f ca="1">IF(rtd_data[[#This Row],[Product]]="","",IF(LEN(TRIM(rtd_data[[#This Row],[Product]]))-LEN(SUBSTITUTE(TRIM(rtd_data[[#This Row],[Product]])," ",""))&gt;=2,"Spread","Future"))</f>
        <v/>
      </c>
      <c r="D384" t="str">
        <f ca="1">IFERROR(INDEX(exch_map[Exch],MATCH(rtd_data[[#This Row],[Group]],exch_map[Group],0)),"")</f>
        <v/>
      </c>
      <c r="E384" s="11" t="str" cm="1">
        <f t="array" aca="1" ref="E384" ca="1">IFERROR(INDEX(_xlfn.ANCHORARRAY(contracts!$A$6),ROW()-ROW(rtd_data[#Headers]),2),"")</f>
        <v/>
      </c>
      <c r="F3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4" t="str">
        <f ca="1">IF(rtd_data[[#This Row],[Exch]]="","",IF(rtd_data[[#This Row],[Exch]]="ICE_L","ICE",rtd_data[[#This Row],[Exch]]))</f>
        <v/>
      </c>
      <c r="I384" t="str">
        <f ca="1">IF(rtd_data[[#This Row],[Product]]="","",IFERROR(INDEX(exch_map[TT_Symbol],MATCH(rtd_data[[#This Row],[Group]],exch_map[Group],0))&amp;"",""))</f>
        <v/>
      </c>
      <c r="J384" t="str">
        <f ca="1">IF(rtd_data[[#This Row],[Type]]="Future",PROPER(RIGHT(rtd_data[[#This Row],[Product]],5)),"")</f>
        <v/>
      </c>
    </row>
    <row r="385" spans="1:10" x14ac:dyDescent="0.25">
      <c r="A385" s="11" t="str" cm="1">
        <f t="array" aca="1" ref="A385" ca="1">IFERROR(INDEX(_xlfn.ANCHORARRAY(contracts!$A$6),ROW()-ROW(rtd_data[#Headers]),1),"")</f>
        <v/>
      </c>
      <c r="B3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5" t="str">
        <f ca="1">IF(rtd_data[[#This Row],[Product]]="","",IF(LEN(TRIM(rtd_data[[#This Row],[Product]]))-LEN(SUBSTITUTE(TRIM(rtd_data[[#This Row],[Product]])," ",""))&gt;=2,"Spread","Future"))</f>
        <v/>
      </c>
      <c r="D385" t="str">
        <f ca="1">IFERROR(INDEX(exch_map[Exch],MATCH(rtd_data[[#This Row],[Group]],exch_map[Group],0)),"")</f>
        <v/>
      </c>
      <c r="E385" s="11" t="str" cm="1">
        <f t="array" aca="1" ref="E385" ca="1">IFERROR(INDEX(_xlfn.ANCHORARRAY(contracts!$A$6),ROW()-ROW(rtd_data[#Headers]),2),"")</f>
        <v/>
      </c>
      <c r="F3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5" t="str">
        <f ca="1">IF(rtd_data[[#This Row],[Exch]]="","",IF(rtd_data[[#This Row],[Exch]]="ICE_L","ICE",rtd_data[[#This Row],[Exch]]))</f>
        <v/>
      </c>
      <c r="I385" t="str">
        <f ca="1">IF(rtd_data[[#This Row],[Product]]="","",IFERROR(INDEX(exch_map[TT_Symbol],MATCH(rtd_data[[#This Row],[Group]],exch_map[Group],0))&amp;"",""))</f>
        <v/>
      </c>
      <c r="J385" t="str">
        <f ca="1">IF(rtd_data[[#This Row],[Type]]="Future",PROPER(RIGHT(rtd_data[[#This Row],[Product]],5)),"")</f>
        <v/>
      </c>
    </row>
    <row r="386" spans="1:10" x14ac:dyDescent="0.25">
      <c r="A386" s="11" t="str" cm="1">
        <f t="array" aca="1" ref="A386" ca="1">IFERROR(INDEX(_xlfn.ANCHORARRAY(contracts!$A$6),ROW()-ROW(rtd_data[#Headers]),1),"")</f>
        <v/>
      </c>
      <c r="B3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6" t="str">
        <f ca="1">IF(rtd_data[[#This Row],[Product]]="","",IF(LEN(TRIM(rtd_data[[#This Row],[Product]]))-LEN(SUBSTITUTE(TRIM(rtd_data[[#This Row],[Product]])," ",""))&gt;=2,"Spread","Future"))</f>
        <v/>
      </c>
      <c r="D386" t="str">
        <f ca="1">IFERROR(INDEX(exch_map[Exch],MATCH(rtd_data[[#This Row],[Group]],exch_map[Group],0)),"")</f>
        <v/>
      </c>
      <c r="E386" s="11" t="str" cm="1">
        <f t="array" aca="1" ref="E386" ca="1">IFERROR(INDEX(_xlfn.ANCHORARRAY(contracts!$A$6),ROW()-ROW(rtd_data[#Headers]),2),"")</f>
        <v/>
      </c>
      <c r="F3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6" t="str">
        <f ca="1">IF(rtd_data[[#This Row],[Exch]]="","",IF(rtd_data[[#This Row],[Exch]]="ICE_L","ICE",rtd_data[[#This Row],[Exch]]))</f>
        <v/>
      </c>
      <c r="I386" t="str">
        <f ca="1">IF(rtd_data[[#This Row],[Product]]="","",IFERROR(INDEX(exch_map[TT_Symbol],MATCH(rtd_data[[#This Row],[Group]],exch_map[Group],0))&amp;"",""))</f>
        <v/>
      </c>
      <c r="J386" t="str">
        <f ca="1">IF(rtd_data[[#This Row],[Type]]="Future",PROPER(RIGHT(rtd_data[[#This Row],[Product]],5)),"")</f>
        <v/>
      </c>
    </row>
    <row r="387" spans="1:10" x14ac:dyDescent="0.25">
      <c r="A387" s="11" t="str" cm="1">
        <f t="array" aca="1" ref="A387" ca="1">IFERROR(INDEX(_xlfn.ANCHORARRAY(contracts!$A$6),ROW()-ROW(rtd_data[#Headers]),1),"")</f>
        <v/>
      </c>
      <c r="B3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7" t="str">
        <f ca="1">IF(rtd_data[[#This Row],[Product]]="","",IF(LEN(TRIM(rtd_data[[#This Row],[Product]]))-LEN(SUBSTITUTE(TRIM(rtd_data[[#This Row],[Product]])," ",""))&gt;=2,"Spread","Future"))</f>
        <v/>
      </c>
      <c r="D387" t="str">
        <f ca="1">IFERROR(INDEX(exch_map[Exch],MATCH(rtd_data[[#This Row],[Group]],exch_map[Group],0)),"")</f>
        <v/>
      </c>
      <c r="E387" s="11" t="str" cm="1">
        <f t="array" aca="1" ref="E387" ca="1">IFERROR(INDEX(_xlfn.ANCHORARRAY(contracts!$A$6),ROW()-ROW(rtd_data[#Headers]),2),"")</f>
        <v/>
      </c>
      <c r="F3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7" t="str">
        <f ca="1">IF(rtd_data[[#This Row],[Exch]]="","",IF(rtd_data[[#This Row],[Exch]]="ICE_L","ICE",rtd_data[[#This Row],[Exch]]))</f>
        <v/>
      </c>
      <c r="I387" t="str">
        <f ca="1">IF(rtd_data[[#This Row],[Product]]="","",IFERROR(INDEX(exch_map[TT_Symbol],MATCH(rtd_data[[#This Row],[Group]],exch_map[Group],0))&amp;"",""))</f>
        <v/>
      </c>
      <c r="J387" t="str">
        <f ca="1">IF(rtd_data[[#This Row],[Type]]="Future",PROPER(RIGHT(rtd_data[[#This Row],[Product]],5)),"")</f>
        <v/>
      </c>
    </row>
    <row r="388" spans="1:10" x14ac:dyDescent="0.25">
      <c r="A388" s="11" t="str" cm="1">
        <f t="array" aca="1" ref="A388" ca="1">IFERROR(INDEX(_xlfn.ANCHORARRAY(contracts!$A$6),ROW()-ROW(rtd_data[#Headers]),1),"")</f>
        <v/>
      </c>
      <c r="B3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8" t="str">
        <f ca="1">IF(rtd_data[[#This Row],[Product]]="","",IF(LEN(TRIM(rtd_data[[#This Row],[Product]]))-LEN(SUBSTITUTE(TRIM(rtd_data[[#This Row],[Product]])," ",""))&gt;=2,"Spread","Future"))</f>
        <v/>
      </c>
      <c r="D388" t="str">
        <f ca="1">IFERROR(INDEX(exch_map[Exch],MATCH(rtd_data[[#This Row],[Group]],exch_map[Group],0)),"")</f>
        <v/>
      </c>
      <c r="E388" s="11" t="str" cm="1">
        <f t="array" aca="1" ref="E388" ca="1">IFERROR(INDEX(_xlfn.ANCHORARRAY(contracts!$A$6),ROW()-ROW(rtd_data[#Headers]),2),"")</f>
        <v/>
      </c>
      <c r="F3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8" t="str">
        <f ca="1">IF(rtd_data[[#This Row],[Exch]]="","",IF(rtd_data[[#This Row],[Exch]]="ICE_L","ICE",rtd_data[[#This Row],[Exch]]))</f>
        <v/>
      </c>
      <c r="I388" t="str">
        <f ca="1">IF(rtd_data[[#This Row],[Product]]="","",IFERROR(INDEX(exch_map[TT_Symbol],MATCH(rtd_data[[#This Row],[Group]],exch_map[Group],0))&amp;"",""))</f>
        <v/>
      </c>
      <c r="J388" t="str">
        <f ca="1">IF(rtd_data[[#This Row],[Type]]="Future",PROPER(RIGHT(rtd_data[[#This Row],[Product]],5)),"")</f>
        <v/>
      </c>
    </row>
    <row r="389" spans="1:10" x14ac:dyDescent="0.25">
      <c r="A389" s="11" t="str" cm="1">
        <f t="array" aca="1" ref="A389" ca="1">IFERROR(INDEX(_xlfn.ANCHORARRAY(contracts!$A$6),ROW()-ROW(rtd_data[#Headers]),1),"")</f>
        <v/>
      </c>
      <c r="B3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9" t="str">
        <f ca="1">IF(rtd_data[[#This Row],[Product]]="","",IF(LEN(TRIM(rtd_data[[#This Row],[Product]]))-LEN(SUBSTITUTE(TRIM(rtd_data[[#This Row],[Product]])," ",""))&gt;=2,"Spread","Future"))</f>
        <v/>
      </c>
      <c r="D389" t="str">
        <f ca="1">IFERROR(INDEX(exch_map[Exch],MATCH(rtd_data[[#This Row],[Group]],exch_map[Group],0)),"")</f>
        <v/>
      </c>
      <c r="E389" s="11" t="str" cm="1">
        <f t="array" aca="1" ref="E389" ca="1">IFERROR(INDEX(_xlfn.ANCHORARRAY(contracts!$A$6),ROW()-ROW(rtd_data[#Headers]),2),"")</f>
        <v/>
      </c>
      <c r="F3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9" t="str">
        <f ca="1">IF(rtd_data[[#This Row],[Exch]]="","",IF(rtd_data[[#This Row],[Exch]]="ICE_L","ICE",rtd_data[[#This Row],[Exch]]))</f>
        <v/>
      </c>
      <c r="I389" t="str">
        <f ca="1">IF(rtd_data[[#This Row],[Product]]="","",IFERROR(INDEX(exch_map[TT_Symbol],MATCH(rtd_data[[#This Row],[Group]],exch_map[Group],0))&amp;"",""))</f>
        <v/>
      </c>
      <c r="J389" t="str">
        <f ca="1">IF(rtd_data[[#This Row],[Type]]="Future",PROPER(RIGHT(rtd_data[[#This Row],[Product]],5)),"")</f>
        <v/>
      </c>
    </row>
    <row r="390" spans="1:10" x14ac:dyDescent="0.25">
      <c r="A390" s="11" t="str" cm="1">
        <f t="array" aca="1" ref="A390" ca="1">IFERROR(INDEX(_xlfn.ANCHORARRAY(contracts!$A$6),ROW()-ROW(rtd_data[#Headers]),1),"")</f>
        <v/>
      </c>
      <c r="B3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0" t="str">
        <f ca="1">IF(rtd_data[[#This Row],[Product]]="","",IF(LEN(TRIM(rtd_data[[#This Row],[Product]]))-LEN(SUBSTITUTE(TRIM(rtd_data[[#This Row],[Product]])," ",""))&gt;=2,"Spread","Future"))</f>
        <v/>
      </c>
      <c r="D390" t="str">
        <f ca="1">IFERROR(INDEX(exch_map[Exch],MATCH(rtd_data[[#This Row],[Group]],exch_map[Group],0)),"")</f>
        <v/>
      </c>
      <c r="E390" s="11" t="str" cm="1">
        <f t="array" aca="1" ref="E390" ca="1">IFERROR(INDEX(_xlfn.ANCHORARRAY(contracts!$A$6),ROW()-ROW(rtd_data[#Headers]),2),"")</f>
        <v/>
      </c>
      <c r="F3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0" t="str">
        <f ca="1">IF(rtd_data[[#This Row],[Exch]]="","",IF(rtd_data[[#This Row],[Exch]]="ICE_L","ICE",rtd_data[[#This Row],[Exch]]))</f>
        <v/>
      </c>
      <c r="I390" t="str">
        <f ca="1">IF(rtd_data[[#This Row],[Product]]="","",IFERROR(INDEX(exch_map[TT_Symbol],MATCH(rtd_data[[#This Row],[Group]],exch_map[Group],0))&amp;"",""))</f>
        <v/>
      </c>
      <c r="J390" t="str">
        <f ca="1">IF(rtd_data[[#This Row],[Type]]="Future",PROPER(RIGHT(rtd_data[[#This Row],[Product]],5)),"")</f>
        <v/>
      </c>
    </row>
    <row r="391" spans="1:10" x14ac:dyDescent="0.25">
      <c r="A391" s="11" t="str" cm="1">
        <f t="array" aca="1" ref="A391" ca="1">IFERROR(INDEX(_xlfn.ANCHORARRAY(contracts!$A$6),ROW()-ROW(rtd_data[#Headers]),1),"")</f>
        <v/>
      </c>
      <c r="B3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1" t="str">
        <f ca="1">IF(rtd_data[[#This Row],[Product]]="","",IF(LEN(TRIM(rtd_data[[#This Row],[Product]]))-LEN(SUBSTITUTE(TRIM(rtd_data[[#This Row],[Product]])," ",""))&gt;=2,"Spread","Future"))</f>
        <v/>
      </c>
      <c r="D391" t="str">
        <f ca="1">IFERROR(INDEX(exch_map[Exch],MATCH(rtd_data[[#This Row],[Group]],exch_map[Group],0)),"")</f>
        <v/>
      </c>
      <c r="E391" s="11" t="str" cm="1">
        <f t="array" aca="1" ref="E391" ca="1">IFERROR(INDEX(_xlfn.ANCHORARRAY(contracts!$A$6),ROW()-ROW(rtd_data[#Headers]),2),"")</f>
        <v/>
      </c>
      <c r="F3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1" t="str">
        <f ca="1">IF(rtd_data[[#This Row],[Exch]]="","",IF(rtd_data[[#This Row],[Exch]]="ICE_L","ICE",rtd_data[[#This Row],[Exch]]))</f>
        <v/>
      </c>
      <c r="I391" t="str">
        <f ca="1">IF(rtd_data[[#This Row],[Product]]="","",IFERROR(INDEX(exch_map[TT_Symbol],MATCH(rtd_data[[#This Row],[Group]],exch_map[Group],0))&amp;"",""))</f>
        <v/>
      </c>
      <c r="J391" t="str">
        <f ca="1">IF(rtd_data[[#This Row],[Type]]="Future",PROPER(RIGHT(rtd_data[[#This Row],[Product]],5)),"")</f>
        <v/>
      </c>
    </row>
    <row r="392" spans="1:10" x14ac:dyDescent="0.25">
      <c r="A392" s="11" t="str" cm="1">
        <f t="array" aca="1" ref="A392" ca="1">IFERROR(INDEX(_xlfn.ANCHORARRAY(contracts!$A$6),ROW()-ROW(rtd_data[#Headers]),1),"")</f>
        <v/>
      </c>
      <c r="B3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2" t="str">
        <f ca="1">IF(rtd_data[[#This Row],[Product]]="","",IF(LEN(TRIM(rtd_data[[#This Row],[Product]]))-LEN(SUBSTITUTE(TRIM(rtd_data[[#This Row],[Product]])," ",""))&gt;=2,"Spread","Future"))</f>
        <v/>
      </c>
      <c r="D392" t="str">
        <f ca="1">IFERROR(INDEX(exch_map[Exch],MATCH(rtd_data[[#This Row],[Group]],exch_map[Group],0)),"")</f>
        <v/>
      </c>
      <c r="E392" s="11" t="str" cm="1">
        <f t="array" aca="1" ref="E392" ca="1">IFERROR(INDEX(_xlfn.ANCHORARRAY(contracts!$A$6),ROW()-ROW(rtd_data[#Headers]),2),"")</f>
        <v/>
      </c>
      <c r="F3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2" t="str">
        <f ca="1">IF(rtd_data[[#This Row],[Exch]]="","",IF(rtd_data[[#This Row],[Exch]]="ICE_L","ICE",rtd_data[[#This Row],[Exch]]))</f>
        <v/>
      </c>
      <c r="I392" t="str">
        <f ca="1">IF(rtd_data[[#This Row],[Product]]="","",IFERROR(INDEX(exch_map[TT_Symbol],MATCH(rtd_data[[#This Row],[Group]],exch_map[Group],0))&amp;"",""))</f>
        <v/>
      </c>
      <c r="J392" t="str">
        <f ca="1">IF(rtd_data[[#This Row],[Type]]="Future",PROPER(RIGHT(rtd_data[[#This Row],[Product]],5)),"")</f>
        <v/>
      </c>
    </row>
    <row r="393" spans="1:10" x14ac:dyDescent="0.25">
      <c r="A393" s="11" t="str" cm="1">
        <f t="array" aca="1" ref="A393" ca="1">IFERROR(INDEX(_xlfn.ANCHORARRAY(contracts!$A$6),ROW()-ROW(rtd_data[#Headers]),1),"")</f>
        <v/>
      </c>
      <c r="B3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3" t="str">
        <f ca="1">IF(rtd_data[[#This Row],[Product]]="","",IF(LEN(TRIM(rtd_data[[#This Row],[Product]]))-LEN(SUBSTITUTE(TRIM(rtd_data[[#This Row],[Product]])," ",""))&gt;=2,"Spread","Future"))</f>
        <v/>
      </c>
      <c r="D393" t="str">
        <f ca="1">IFERROR(INDEX(exch_map[Exch],MATCH(rtd_data[[#This Row],[Group]],exch_map[Group],0)),"")</f>
        <v/>
      </c>
      <c r="E393" s="11" t="str" cm="1">
        <f t="array" aca="1" ref="E393" ca="1">IFERROR(INDEX(_xlfn.ANCHORARRAY(contracts!$A$6),ROW()-ROW(rtd_data[#Headers]),2),"")</f>
        <v/>
      </c>
      <c r="F3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3" t="str">
        <f ca="1">IF(rtd_data[[#This Row],[Exch]]="","",IF(rtd_data[[#This Row],[Exch]]="ICE_L","ICE",rtd_data[[#This Row],[Exch]]))</f>
        <v/>
      </c>
      <c r="I393" t="str">
        <f ca="1">IF(rtd_data[[#This Row],[Product]]="","",IFERROR(INDEX(exch_map[TT_Symbol],MATCH(rtd_data[[#This Row],[Group]],exch_map[Group],0))&amp;"",""))</f>
        <v/>
      </c>
      <c r="J393" t="str">
        <f ca="1">IF(rtd_data[[#This Row],[Type]]="Future",PROPER(RIGHT(rtd_data[[#This Row],[Product]],5)),"")</f>
        <v/>
      </c>
    </row>
    <row r="394" spans="1:10" x14ac:dyDescent="0.25">
      <c r="A394" s="11" t="str" cm="1">
        <f t="array" aca="1" ref="A394" ca="1">IFERROR(INDEX(_xlfn.ANCHORARRAY(contracts!$A$6),ROW()-ROW(rtd_data[#Headers]),1),"")</f>
        <v/>
      </c>
      <c r="B3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4" t="str">
        <f ca="1">IF(rtd_data[[#This Row],[Product]]="","",IF(LEN(TRIM(rtd_data[[#This Row],[Product]]))-LEN(SUBSTITUTE(TRIM(rtd_data[[#This Row],[Product]])," ",""))&gt;=2,"Spread","Future"))</f>
        <v/>
      </c>
      <c r="D394" t="str">
        <f ca="1">IFERROR(INDEX(exch_map[Exch],MATCH(rtd_data[[#This Row],[Group]],exch_map[Group],0)),"")</f>
        <v/>
      </c>
      <c r="E394" s="11" t="str" cm="1">
        <f t="array" aca="1" ref="E394" ca="1">IFERROR(INDEX(_xlfn.ANCHORARRAY(contracts!$A$6),ROW()-ROW(rtd_data[#Headers]),2),"")</f>
        <v/>
      </c>
      <c r="F3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4" t="str">
        <f ca="1">IF(rtd_data[[#This Row],[Exch]]="","",IF(rtd_data[[#This Row],[Exch]]="ICE_L","ICE",rtd_data[[#This Row],[Exch]]))</f>
        <v/>
      </c>
      <c r="I394" t="str">
        <f ca="1">IF(rtd_data[[#This Row],[Product]]="","",IFERROR(INDEX(exch_map[TT_Symbol],MATCH(rtd_data[[#This Row],[Group]],exch_map[Group],0))&amp;"",""))</f>
        <v/>
      </c>
      <c r="J394" t="str">
        <f ca="1">IF(rtd_data[[#This Row],[Type]]="Future",PROPER(RIGHT(rtd_data[[#This Row],[Product]],5)),"")</f>
        <v/>
      </c>
    </row>
    <row r="395" spans="1:10" x14ac:dyDescent="0.25">
      <c r="A395" s="11" t="str" cm="1">
        <f t="array" aca="1" ref="A395" ca="1">IFERROR(INDEX(_xlfn.ANCHORARRAY(contracts!$A$6),ROW()-ROW(rtd_data[#Headers]),1),"")</f>
        <v/>
      </c>
      <c r="B3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5" t="str">
        <f ca="1">IF(rtd_data[[#This Row],[Product]]="","",IF(LEN(TRIM(rtd_data[[#This Row],[Product]]))-LEN(SUBSTITUTE(TRIM(rtd_data[[#This Row],[Product]])," ",""))&gt;=2,"Spread","Future"))</f>
        <v/>
      </c>
      <c r="D395" t="str">
        <f ca="1">IFERROR(INDEX(exch_map[Exch],MATCH(rtd_data[[#This Row],[Group]],exch_map[Group],0)),"")</f>
        <v/>
      </c>
      <c r="E395" s="11" t="str" cm="1">
        <f t="array" aca="1" ref="E395" ca="1">IFERROR(INDEX(_xlfn.ANCHORARRAY(contracts!$A$6),ROW()-ROW(rtd_data[#Headers]),2),"")</f>
        <v/>
      </c>
      <c r="F3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5" t="str">
        <f ca="1">IF(rtd_data[[#This Row],[Exch]]="","",IF(rtd_data[[#This Row],[Exch]]="ICE_L","ICE",rtd_data[[#This Row],[Exch]]))</f>
        <v/>
      </c>
      <c r="I395" t="str">
        <f ca="1">IF(rtd_data[[#This Row],[Product]]="","",IFERROR(INDEX(exch_map[TT_Symbol],MATCH(rtd_data[[#This Row],[Group]],exch_map[Group],0))&amp;"",""))</f>
        <v/>
      </c>
      <c r="J395" t="str">
        <f ca="1">IF(rtd_data[[#This Row],[Type]]="Future",PROPER(RIGHT(rtd_data[[#This Row],[Product]],5)),"")</f>
        <v/>
      </c>
    </row>
    <row r="396" spans="1:10" x14ac:dyDescent="0.25">
      <c r="A396" s="11" t="str" cm="1">
        <f t="array" aca="1" ref="A396" ca="1">IFERROR(INDEX(_xlfn.ANCHORARRAY(contracts!$A$6),ROW()-ROW(rtd_data[#Headers]),1),"")</f>
        <v/>
      </c>
      <c r="B3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6" t="str">
        <f ca="1">IF(rtd_data[[#This Row],[Product]]="","",IF(LEN(TRIM(rtd_data[[#This Row],[Product]]))-LEN(SUBSTITUTE(TRIM(rtd_data[[#This Row],[Product]])," ",""))&gt;=2,"Spread","Future"))</f>
        <v/>
      </c>
      <c r="D396" t="str">
        <f ca="1">IFERROR(INDEX(exch_map[Exch],MATCH(rtd_data[[#This Row],[Group]],exch_map[Group],0)),"")</f>
        <v/>
      </c>
      <c r="E396" s="11" t="str" cm="1">
        <f t="array" aca="1" ref="E396" ca="1">IFERROR(INDEX(_xlfn.ANCHORARRAY(contracts!$A$6),ROW()-ROW(rtd_data[#Headers]),2),"")</f>
        <v/>
      </c>
      <c r="F3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6" t="str">
        <f ca="1">IF(rtd_data[[#This Row],[Exch]]="","",IF(rtd_data[[#This Row],[Exch]]="ICE_L","ICE",rtd_data[[#This Row],[Exch]]))</f>
        <v/>
      </c>
      <c r="I396" t="str">
        <f ca="1">IF(rtd_data[[#This Row],[Product]]="","",IFERROR(INDEX(exch_map[TT_Symbol],MATCH(rtd_data[[#This Row],[Group]],exch_map[Group],0))&amp;"",""))</f>
        <v/>
      </c>
      <c r="J396" t="str">
        <f ca="1">IF(rtd_data[[#This Row],[Type]]="Future",PROPER(RIGHT(rtd_data[[#This Row],[Product]],5)),"")</f>
        <v/>
      </c>
    </row>
    <row r="397" spans="1:10" x14ac:dyDescent="0.25">
      <c r="A397" s="11" t="str" cm="1">
        <f t="array" aca="1" ref="A397" ca="1">IFERROR(INDEX(_xlfn.ANCHORARRAY(contracts!$A$6),ROW()-ROW(rtd_data[#Headers]),1),"")</f>
        <v/>
      </c>
      <c r="B3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7" t="str">
        <f ca="1">IF(rtd_data[[#This Row],[Product]]="","",IF(LEN(TRIM(rtd_data[[#This Row],[Product]]))-LEN(SUBSTITUTE(TRIM(rtd_data[[#This Row],[Product]])," ",""))&gt;=2,"Spread","Future"))</f>
        <v/>
      </c>
      <c r="D397" t="str">
        <f ca="1">IFERROR(INDEX(exch_map[Exch],MATCH(rtd_data[[#This Row],[Group]],exch_map[Group],0)),"")</f>
        <v/>
      </c>
      <c r="E397" s="11" t="str" cm="1">
        <f t="array" aca="1" ref="E397" ca="1">IFERROR(INDEX(_xlfn.ANCHORARRAY(contracts!$A$6),ROW()-ROW(rtd_data[#Headers]),2),"")</f>
        <v/>
      </c>
      <c r="F3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7" t="str">
        <f ca="1">IF(rtd_data[[#This Row],[Exch]]="","",IF(rtd_data[[#This Row],[Exch]]="ICE_L","ICE",rtd_data[[#This Row],[Exch]]))</f>
        <v/>
      </c>
      <c r="I397" t="str">
        <f ca="1">IF(rtd_data[[#This Row],[Product]]="","",IFERROR(INDEX(exch_map[TT_Symbol],MATCH(rtd_data[[#This Row],[Group]],exch_map[Group],0))&amp;"",""))</f>
        <v/>
      </c>
      <c r="J397" t="str">
        <f ca="1">IF(rtd_data[[#This Row],[Type]]="Future",PROPER(RIGHT(rtd_data[[#This Row],[Product]],5)),"")</f>
        <v/>
      </c>
    </row>
    <row r="398" spans="1:10" x14ac:dyDescent="0.25">
      <c r="A398" s="11" t="str" cm="1">
        <f t="array" aca="1" ref="A398" ca="1">IFERROR(INDEX(_xlfn.ANCHORARRAY(contracts!$A$6),ROW()-ROW(rtd_data[#Headers]),1),"")</f>
        <v/>
      </c>
      <c r="B3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8" t="str">
        <f ca="1">IF(rtd_data[[#This Row],[Product]]="","",IF(LEN(TRIM(rtd_data[[#This Row],[Product]]))-LEN(SUBSTITUTE(TRIM(rtd_data[[#This Row],[Product]])," ",""))&gt;=2,"Spread","Future"))</f>
        <v/>
      </c>
      <c r="D398" t="str">
        <f ca="1">IFERROR(INDEX(exch_map[Exch],MATCH(rtd_data[[#This Row],[Group]],exch_map[Group],0)),"")</f>
        <v/>
      </c>
      <c r="E398" s="11" t="str" cm="1">
        <f t="array" aca="1" ref="E398" ca="1">IFERROR(INDEX(_xlfn.ANCHORARRAY(contracts!$A$6),ROW()-ROW(rtd_data[#Headers]),2),"")</f>
        <v/>
      </c>
      <c r="F3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8" t="str">
        <f ca="1">IF(rtd_data[[#This Row],[Exch]]="","",IF(rtd_data[[#This Row],[Exch]]="ICE_L","ICE",rtd_data[[#This Row],[Exch]]))</f>
        <v/>
      </c>
      <c r="I398" t="str">
        <f ca="1">IF(rtd_data[[#This Row],[Product]]="","",IFERROR(INDEX(exch_map[TT_Symbol],MATCH(rtd_data[[#This Row],[Group]],exch_map[Group],0))&amp;"",""))</f>
        <v/>
      </c>
      <c r="J398" t="str">
        <f ca="1">IF(rtd_data[[#This Row],[Type]]="Future",PROPER(RIGHT(rtd_data[[#This Row],[Product]],5)),"")</f>
        <v/>
      </c>
    </row>
    <row r="399" spans="1:10" x14ac:dyDescent="0.25">
      <c r="A399" s="11" t="str" cm="1">
        <f t="array" aca="1" ref="A399" ca="1">IFERROR(INDEX(_xlfn.ANCHORARRAY(contracts!$A$6),ROW()-ROW(rtd_data[#Headers]),1),"")</f>
        <v/>
      </c>
      <c r="B3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9" t="str">
        <f ca="1">IF(rtd_data[[#This Row],[Product]]="","",IF(LEN(TRIM(rtd_data[[#This Row],[Product]]))-LEN(SUBSTITUTE(TRIM(rtd_data[[#This Row],[Product]])," ",""))&gt;=2,"Spread","Future"))</f>
        <v/>
      </c>
      <c r="D399" t="str">
        <f ca="1">IFERROR(INDEX(exch_map[Exch],MATCH(rtd_data[[#This Row],[Group]],exch_map[Group],0)),"")</f>
        <v/>
      </c>
      <c r="E399" s="11" t="str" cm="1">
        <f t="array" aca="1" ref="E399" ca="1">IFERROR(INDEX(_xlfn.ANCHORARRAY(contracts!$A$6),ROW()-ROW(rtd_data[#Headers]),2),"")</f>
        <v/>
      </c>
      <c r="F3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9" t="str">
        <f ca="1">IF(rtd_data[[#This Row],[Exch]]="","",IF(rtd_data[[#This Row],[Exch]]="ICE_L","ICE",rtd_data[[#This Row],[Exch]]))</f>
        <v/>
      </c>
      <c r="I399" t="str">
        <f ca="1">IF(rtd_data[[#This Row],[Product]]="","",IFERROR(INDEX(exch_map[TT_Symbol],MATCH(rtd_data[[#This Row],[Group]],exch_map[Group],0))&amp;"",""))</f>
        <v/>
      </c>
      <c r="J399" t="str">
        <f ca="1">IF(rtd_data[[#This Row],[Type]]="Future",PROPER(RIGHT(rtd_data[[#This Row],[Product]],5)),"")</f>
        <v/>
      </c>
    </row>
    <row r="400" spans="1:10" x14ac:dyDescent="0.25">
      <c r="A400" s="11" t="str" cm="1">
        <f t="array" aca="1" ref="A400" ca="1">IFERROR(INDEX(_xlfn.ANCHORARRAY(contracts!$A$6),ROW()-ROW(rtd_data[#Headers]),1),"")</f>
        <v/>
      </c>
      <c r="B4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0" t="str">
        <f ca="1">IF(rtd_data[[#This Row],[Product]]="","",IF(LEN(TRIM(rtd_data[[#This Row],[Product]]))-LEN(SUBSTITUTE(TRIM(rtd_data[[#This Row],[Product]])," ",""))&gt;=2,"Spread","Future"))</f>
        <v/>
      </c>
      <c r="D400" t="str">
        <f ca="1">IFERROR(INDEX(exch_map[Exch],MATCH(rtd_data[[#This Row],[Group]],exch_map[Group],0)),"")</f>
        <v/>
      </c>
      <c r="E400" s="11" t="str" cm="1">
        <f t="array" aca="1" ref="E400" ca="1">IFERROR(INDEX(_xlfn.ANCHORARRAY(contracts!$A$6),ROW()-ROW(rtd_data[#Headers]),2),"")</f>
        <v/>
      </c>
      <c r="F4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0" t="str">
        <f ca="1">IF(rtd_data[[#This Row],[Exch]]="","",IF(rtd_data[[#This Row],[Exch]]="ICE_L","ICE",rtd_data[[#This Row],[Exch]]))</f>
        <v/>
      </c>
      <c r="I400" t="str">
        <f ca="1">IF(rtd_data[[#This Row],[Product]]="","",IFERROR(INDEX(exch_map[TT_Symbol],MATCH(rtd_data[[#This Row],[Group]],exch_map[Group],0))&amp;"",""))</f>
        <v/>
      </c>
      <c r="J400" t="str">
        <f ca="1">IF(rtd_data[[#This Row],[Type]]="Future",PROPER(RIGHT(rtd_data[[#This Row],[Product]],5)),"")</f>
        <v/>
      </c>
    </row>
    <row r="401" spans="1:10" x14ac:dyDescent="0.25">
      <c r="A401" s="11" t="str" cm="1">
        <f t="array" aca="1" ref="A401" ca="1">IFERROR(INDEX(_xlfn.ANCHORARRAY(contracts!$A$6),ROW()-ROW(rtd_data[#Headers]),1),"")</f>
        <v/>
      </c>
      <c r="B4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1" t="str">
        <f ca="1">IF(rtd_data[[#This Row],[Product]]="","",IF(LEN(TRIM(rtd_data[[#This Row],[Product]]))-LEN(SUBSTITUTE(TRIM(rtd_data[[#This Row],[Product]])," ",""))&gt;=2,"Spread","Future"))</f>
        <v/>
      </c>
      <c r="D401" t="str">
        <f ca="1">IFERROR(INDEX(exch_map[Exch],MATCH(rtd_data[[#This Row],[Group]],exch_map[Group],0)),"")</f>
        <v/>
      </c>
      <c r="E401" s="11" t="str" cm="1">
        <f t="array" aca="1" ref="E401" ca="1">IFERROR(INDEX(_xlfn.ANCHORARRAY(contracts!$A$6),ROW()-ROW(rtd_data[#Headers]),2),"")</f>
        <v/>
      </c>
      <c r="F4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1" t="str">
        <f ca="1">IF(rtd_data[[#This Row],[Exch]]="","",IF(rtd_data[[#This Row],[Exch]]="ICE_L","ICE",rtd_data[[#This Row],[Exch]]))</f>
        <v/>
      </c>
      <c r="I401" t="str">
        <f ca="1">IF(rtd_data[[#This Row],[Product]]="","",IFERROR(INDEX(exch_map[TT_Symbol],MATCH(rtd_data[[#This Row],[Group]],exch_map[Group],0))&amp;"",""))</f>
        <v/>
      </c>
      <c r="J401" t="str">
        <f ca="1">IF(rtd_data[[#This Row],[Type]]="Future",PROPER(RIGHT(rtd_data[[#This Row],[Product]],5)),"")</f>
        <v/>
      </c>
    </row>
    <row r="402" spans="1:10" x14ac:dyDescent="0.25">
      <c r="A402" s="11" t="str" cm="1">
        <f t="array" aca="1" ref="A402" ca="1">IFERROR(INDEX(_xlfn.ANCHORARRAY(contracts!$A$6),ROW()-ROW(rtd_data[#Headers]),1),"")</f>
        <v/>
      </c>
      <c r="B4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2" t="str">
        <f ca="1">IF(rtd_data[[#This Row],[Product]]="","",IF(LEN(TRIM(rtd_data[[#This Row],[Product]]))-LEN(SUBSTITUTE(TRIM(rtd_data[[#This Row],[Product]])," ",""))&gt;=2,"Spread","Future"))</f>
        <v/>
      </c>
      <c r="D402" t="str">
        <f ca="1">IFERROR(INDEX(exch_map[Exch],MATCH(rtd_data[[#This Row],[Group]],exch_map[Group],0)),"")</f>
        <v/>
      </c>
      <c r="E402" s="11" t="str" cm="1">
        <f t="array" aca="1" ref="E402" ca="1">IFERROR(INDEX(_xlfn.ANCHORARRAY(contracts!$A$6),ROW()-ROW(rtd_data[#Headers]),2),"")</f>
        <v/>
      </c>
      <c r="F4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2" t="str">
        <f ca="1">IF(rtd_data[[#This Row],[Exch]]="","",IF(rtd_data[[#This Row],[Exch]]="ICE_L","ICE",rtd_data[[#This Row],[Exch]]))</f>
        <v/>
      </c>
      <c r="I402" t="str">
        <f ca="1">IF(rtd_data[[#This Row],[Product]]="","",IFERROR(INDEX(exch_map[TT_Symbol],MATCH(rtd_data[[#This Row],[Group]],exch_map[Group],0))&amp;"",""))</f>
        <v/>
      </c>
      <c r="J402" t="str">
        <f ca="1">IF(rtd_data[[#This Row],[Type]]="Future",PROPER(RIGHT(rtd_data[[#This Row],[Product]],5)),"")</f>
        <v/>
      </c>
    </row>
    <row r="403" spans="1:10" x14ac:dyDescent="0.25">
      <c r="A403" s="11" t="str" cm="1">
        <f t="array" aca="1" ref="A403" ca="1">IFERROR(INDEX(_xlfn.ANCHORARRAY(contracts!$A$6),ROW()-ROW(rtd_data[#Headers]),1),"")</f>
        <v/>
      </c>
      <c r="B4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3" t="str">
        <f ca="1">IF(rtd_data[[#This Row],[Product]]="","",IF(LEN(TRIM(rtd_data[[#This Row],[Product]]))-LEN(SUBSTITUTE(TRIM(rtd_data[[#This Row],[Product]])," ",""))&gt;=2,"Spread","Future"))</f>
        <v/>
      </c>
      <c r="D403" t="str">
        <f ca="1">IFERROR(INDEX(exch_map[Exch],MATCH(rtd_data[[#This Row],[Group]],exch_map[Group],0)),"")</f>
        <v/>
      </c>
      <c r="E403" s="11" t="str" cm="1">
        <f t="array" aca="1" ref="E403" ca="1">IFERROR(INDEX(_xlfn.ANCHORARRAY(contracts!$A$6),ROW()-ROW(rtd_data[#Headers]),2),"")</f>
        <v/>
      </c>
      <c r="F4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3" t="str">
        <f ca="1">IF(rtd_data[[#This Row],[Exch]]="","",IF(rtd_data[[#This Row],[Exch]]="ICE_L","ICE",rtd_data[[#This Row],[Exch]]))</f>
        <v/>
      </c>
      <c r="I403" t="str">
        <f ca="1">IF(rtd_data[[#This Row],[Product]]="","",IFERROR(INDEX(exch_map[TT_Symbol],MATCH(rtd_data[[#This Row],[Group]],exch_map[Group],0))&amp;"",""))</f>
        <v/>
      </c>
      <c r="J403" t="str">
        <f ca="1">IF(rtd_data[[#This Row],[Type]]="Future",PROPER(RIGHT(rtd_data[[#This Row],[Product]],5)),"")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916C-80A7-494D-93BC-91138F2DCF84}">
  <sheetPr codeName="Sheet3"/>
  <dimension ref="A1:K94"/>
  <sheetViews>
    <sheetView workbookViewId="0">
      <selection activeCell="J13" sqref="J13"/>
    </sheetView>
  </sheetViews>
  <sheetFormatPr defaultRowHeight="15" x14ac:dyDescent="0.25"/>
  <cols>
    <col min="1" max="2" width="13.28515625" customWidth="1"/>
    <col min="5" max="5" width="15.28515625" bestFit="1" customWidth="1"/>
    <col min="6" max="6" width="14.28515625" customWidth="1"/>
    <col min="9" max="9" width="28.5703125" customWidth="1"/>
    <col min="10" max="10" width="49.5703125" customWidth="1"/>
  </cols>
  <sheetData>
    <row r="1" spans="1:11" x14ac:dyDescent="0.25">
      <c r="A1" s="2" t="s">
        <v>0</v>
      </c>
      <c r="B1" s="2" t="s">
        <v>1</v>
      </c>
      <c r="C1" s="2" t="s">
        <v>149</v>
      </c>
      <c r="D1" s="2" t="s">
        <v>43</v>
      </c>
      <c r="E1" s="2" t="s">
        <v>42</v>
      </c>
      <c r="F1" s="2" t="s">
        <v>193</v>
      </c>
      <c r="H1" t="s">
        <v>148</v>
      </c>
      <c r="J1" s="15" t="s">
        <v>159</v>
      </c>
      <c r="K1" s="15"/>
    </row>
    <row r="2" spans="1:11" x14ac:dyDescent="0.25">
      <c r="A2" s="1" t="s">
        <v>2</v>
      </c>
      <c r="B2" s="1" t="s">
        <v>3</v>
      </c>
      <c r="C2" s="1">
        <v>24</v>
      </c>
      <c r="D2" s="1" t="s">
        <v>46</v>
      </c>
      <c r="E2" s="1" t="s">
        <v>150</v>
      </c>
      <c r="F2" s="1" t="s">
        <v>2</v>
      </c>
      <c r="H2" t="s">
        <v>55</v>
      </c>
      <c r="J2" s="16" t="s">
        <v>160</v>
      </c>
      <c r="K2" s="17"/>
    </row>
    <row r="3" spans="1:11" x14ac:dyDescent="0.25">
      <c r="A3" s="1" t="s">
        <v>4</v>
      </c>
      <c r="B3" s="1" t="s">
        <v>3</v>
      </c>
      <c r="C3" s="1">
        <v>24</v>
      </c>
      <c r="D3" s="1" t="s">
        <v>46</v>
      </c>
      <c r="E3" s="1" t="s">
        <v>150</v>
      </c>
      <c r="F3" s="1" t="s">
        <v>4</v>
      </c>
      <c r="H3" t="s">
        <v>56</v>
      </c>
      <c r="J3" s="16" t="s">
        <v>161</v>
      </c>
      <c r="K3" s="20"/>
    </row>
    <row r="4" spans="1:11" x14ac:dyDescent="0.25">
      <c r="A4" s="1" t="s">
        <v>5</v>
      </c>
      <c r="B4" s="1" t="s">
        <v>3</v>
      </c>
      <c r="C4" s="1">
        <v>24</v>
      </c>
      <c r="D4" s="1" t="s">
        <v>46</v>
      </c>
      <c r="E4" s="1" t="s">
        <v>150</v>
      </c>
      <c r="F4" s="1"/>
      <c r="H4" t="s">
        <v>57</v>
      </c>
      <c r="J4" s="16" t="s">
        <v>162</v>
      </c>
      <c r="K4" s="18" t="s">
        <v>163</v>
      </c>
    </row>
    <row r="5" spans="1:11" x14ac:dyDescent="0.25">
      <c r="A5" s="1" t="s">
        <v>6</v>
      </c>
      <c r="B5" s="1" t="s">
        <v>3</v>
      </c>
      <c r="C5" s="1">
        <v>8</v>
      </c>
      <c r="D5" s="1" t="s">
        <v>46</v>
      </c>
      <c r="E5" s="1" t="s">
        <v>150</v>
      </c>
      <c r="F5" s="1" t="s">
        <v>6</v>
      </c>
      <c r="H5" t="s">
        <v>58</v>
      </c>
      <c r="J5" s="16" t="s">
        <v>164</v>
      </c>
      <c r="K5" s="18" t="s">
        <v>45</v>
      </c>
    </row>
    <row r="6" spans="1:11" x14ac:dyDescent="0.25">
      <c r="A6" s="1" t="s">
        <v>7</v>
      </c>
      <c r="B6" s="1" t="s">
        <v>3</v>
      </c>
      <c r="C6" s="1">
        <v>1</v>
      </c>
      <c r="D6" s="1" t="s">
        <v>46</v>
      </c>
      <c r="E6" s="1" t="s">
        <v>151</v>
      </c>
      <c r="F6" s="1" t="s">
        <v>7</v>
      </c>
      <c r="H6" t="s">
        <v>59</v>
      </c>
      <c r="J6" s="16" t="s">
        <v>165</v>
      </c>
      <c r="K6" s="18" t="s">
        <v>41</v>
      </c>
    </row>
    <row r="7" spans="1:11" x14ac:dyDescent="0.25">
      <c r="A7" s="1" t="s">
        <v>8</v>
      </c>
      <c r="B7" s="1" t="s">
        <v>3</v>
      </c>
      <c r="C7" s="1">
        <v>12</v>
      </c>
      <c r="D7" s="1" t="s">
        <v>46</v>
      </c>
      <c r="E7" s="1" t="s">
        <v>151</v>
      </c>
      <c r="F7" s="1" t="s">
        <v>8</v>
      </c>
      <c r="H7" t="s">
        <v>60</v>
      </c>
      <c r="J7" s="16" t="s">
        <v>166</v>
      </c>
      <c r="K7" s="18">
        <v>10</v>
      </c>
    </row>
    <row r="8" spans="1:11" x14ac:dyDescent="0.25">
      <c r="A8" s="1" t="s">
        <v>9</v>
      </c>
      <c r="B8" s="1" t="s">
        <v>3</v>
      </c>
      <c r="C8" s="1">
        <v>24</v>
      </c>
      <c r="D8" s="1" t="s">
        <v>46</v>
      </c>
      <c r="E8" s="1" t="s">
        <v>151</v>
      </c>
      <c r="F8" s="1" t="s">
        <v>9</v>
      </c>
      <c r="H8" t="s">
        <v>61</v>
      </c>
      <c r="J8" s="16" t="s">
        <v>167</v>
      </c>
      <c r="K8" s="18">
        <v>0</v>
      </c>
    </row>
    <row r="9" spans="1:11" x14ac:dyDescent="0.25">
      <c r="A9" s="1" t="s">
        <v>10</v>
      </c>
      <c r="B9" s="1" t="s">
        <v>11</v>
      </c>
      <c r="C9" s="1">
        <v>2</v>
      </c>
      <c r="D9" s="1" t="s">
        <v>46</v>
      </c>
      <c r="E9" s="1" t="s">
        <v>151</v>
      </c>
      <c r="F9" s="1" t="s">
        <v>10</v>
      </c>
      <c r="H9" t="s">
        <v>62</v>
      </c>
      <c r="J9" s="7" t="s">
        <v>200</v>
      </c>
      <c r="K9" s="19" t="s">
        <v>168</v>
      </c>
    </row>
    <row r="10" spans="1:11" x14ac:dyDescent="0.25">
      <c r="A10" s="1" t="s">
        <v>12</v>
      </c>
      <c r="B10" s="1" t="s">
        <v>11</v>
      </c>
      <c r="C10" s="1">
        <v>2</v>
      </c>
      <c r="D10" s="1" t="s">
        <v>46</v>
      </c>
      <c r="E10" s="1" t="s">
        <v>151</v>
      </c>
      <c r="F10" s="1" t="s">
        <v>12</v>
      </c>
      <c r="H10" t="s">
        <v>63</v>
      </c>
      <c r="J10" s="14" t="s">
        <v>169</v>
      </c>
    </row>
    <row r="11" spans="1:11" x14ac:dyDescent="0.25">
      <c r="A11" s="1" t="s">
        <v>13</v>
      </c>
      <c r="B11" s="1" t="s">
        <v>11</v>
      </c>
      <c r="C11" s="1">
        <v>2</v>
      </c>
      <c r="D11" s="1" t="s">
        <v>46</v>
      </c>
      <c r="E11" s="1" t="s">
        <v>151</v>
      </c>
      <c r="F11" s="1" t="s">
        <v>13</v>
      </c>
      <c r="H11" t="s">
        <v>64</v>
      </c>
      <c r="J11" s="12" t="s">
        <v>194</v>
      </c>
      <c r="K11" s="13" t="s">
        <v>199</v>
      </c>
    </row>
    <row r="12" spans="1:11" x14ac:dyDescent="0.25">
      <c r="A12" s="1" t="s">
        <v>14</v>
      </c>
      <c r="B12" s="1" t="s">
        <v>11</v>
      </c>
      <c r="C12" s="1">
        <v>2</v>
      </c>
      <c r="D12" s="1" t="s">
        <v>46</v>
      </c>
      <c r="E12" s="1" t="s">
        <v>151</v>
      </c>
      <c r="F12" s="1" t="s">
        <v>14</v>
      </c>
      <c r="H12" t="s">
        <v>65</v>
      </c>
    </row>
    <row r="13" spans="1:11" x14ac:dyDescent="0.25">
      <c r="A13" s="1" t="s">
        <v>15</v>
      </c>
      <c r="B13" s="1" t="s">
        <v>11</v>
      </c>
      <c r="C13" s="1">
        <v>2</v>
      </c>
      <c r="D13" s="1" t="s">
        <v>46</v>
      </c>
      <c r="E13" s="1" t="s">
        <v>151</v>
      </c>
      <c r="F13" s="1" t="s">
        <v>15</v>
      </c>
      <c r="H13" t="s">
        <v>66</v>
      </c>
    </row>
    <row r="14" spans="1:11" x14ac:dyDescent="0.25">
      <c r="A14" s="1" t="s">
        <v>16</v>
      </c>
      <c r="B14" s="1" t="s">
        <v>11</v>
      </c>
      <c r="C14" s="1">
        <v>2</v>
      </c>
      <c r="D14" s="1" t="s">
        <v>46</v>
      </c>
      <c r="E14" s="1" t="s">
        <v>151</v>
      </c>
      <c r="F14" s="1" t="s">
        <v>16</v>
      </c>
      <c r="H14" t="s">
        <v>67</v>
      </c>
    </row>
    <row r="15" spans="1:11" x14ac:dyDescent="0.25">
      <c r="A15" s="1" t="s">
        <v>17</v>
      </c>
      <c r="B15" s="1" t="s">
        <v>11</v>
      </c>
      <c r="C15" s="1">
        <v>2</v>
      </c>
      <c r="D15" s="1" t="s">
        <v>46</v>
      </c>
      <c r="E15" s="1" t="s">
        <v>151</v>
      </c>
      <c r="F15" s="1" t="s">
        <v>17</v>
      </c>
      <c r="H15" t="s">
        <v>68</v>
      </c>
    </row>
    <row r="16" spans="1:11" x14ac:dyDescent="0.25">
      <c r="A16" s="1" t="s">
        <v>18</v>
      </c>
      <c r="B16" s="1" t="s">
        <v>11</v>
      </c>
      <c r="C16" s="1">
        <v>6</v>
      </c>
      <c r="D16" s="1" t="s">
        <v>46</v>
      </c>
      <c r="E16" s="1" t="s">
        <v>152</v>
      </c>
      <c r="F16" s="1" t="s">
        <v>18</v>
      </c>
      <c r="H16" t="s">
        <v>69</v>
      </c>
    </row>
    <row r="17" spans="1:8" x14ac:dyDescent="0.25">
      <c r="A17" s="1" t="s">
        <v>19</v>
      </c>
      <c r="B17" s="1" t="s">
        <v>20</v>
      </c>
      <c r="C17" s="1">
        <v>18</v>
      </c>
      <c r="D17" s="1" t="s">
        <v>46</v>
      </c>
      <c r="E17" s="1" t="s">
        <v>152</v>
      </c>
      <c r="F17" s="1" t="s">
        <v>19</v>
      </c>
      <c r="H17" t="s">
        <v>70</v>
      </c>
    </row>
    <row r="18" spans="1:8" x14ac:dyDescent="0.25">
      <c r="A18" s="1" t="s">
        <v>21</v>
      </c>
      <c r="B18" s="1" t="s">
        <v>20</v>
      </c>
      <c r="C18" s="1">
        <v>18</v>
      </c>
      <c r="D18" s="1" t="s">
        <v>46</v>
      </c>
      <c r="E18" s="1" t="s">
        <v>152</v>
      </c>
      <c r="F18" s="1"/>
      <c r="H18" t="s">
        <v>71</v>
      </c>
    </row>
    <row r="19" spans="1:8" x14ac:dyDescent="0.25">
      <c r="A19" s="1" t="s">
        <v>22</v>
      </c>
      <c r="B19" s="1" t="s">
        <v>20</v>
      </c>
      <c r="C19" s="1">
        <v>24</v>
      </c>
      <c r="D19" s="1" t="s">
        <v>46</v>
      </c>
      <c r="E19" s="1" t="s">
        <v>150</v>
      </c>
      <c r="F19" s="1" t="s">
        <v>22</v>
      </c>
      <c r="H19" t="s">
        <v>72</v>
      </c>
    </row>
    <row r="20" spans="1:8" x14ac:dyDescent="0.25">
      <c r="A20" s="1" t="s">
        <v>23</v>
      </c>
      <c r="B20" s="1" t="s">
        <v>20</v>
      </c>
      <c r="C20" s="1">
        <v>2</v>
      </c>
      <c r="D20" s="1" t="s">
        <v>46</v>
      </c>
      <c r="E20" s="1" t="s">
        <v>151</v>
      </c>
      <c r="F20" s="1" t="s">
        <v>23</v>
      </c>
      <c r="H20" t="s">
        <v>73</v>
      </c>
    </row>
    <row r="21" spans="1:8" x14ac:dyDescent="0.25">
      <c r="A21" s="1" t="s">
        <v>24</v>
      </c>
      <c r="B21" s="1" t="s">
        <v>20</v>
      </c>
      <c r="C21" s="1">
        <v>2</v>
      </c>
      <c r="D21" s="1" t="s">
        <v>46</v>
      </c>
      <c r="E21" s="1" t="s">
        <v>151</v>
      </c>
      <c r="F21" s="1" t="s">
        <v>24</v>
      </c>
      <c r="H21" t="s">
        <v>74</v>
      </c>
    </row>
    <row r="22" spans="1:8" x14ac:dyDescent="0.25">
      <c r="A22" s="1" t="s">
        <v>25</v>
      </c>
      <c r="B22" s="1" t="s">
        <v>20</v>
      </c>
      <c r="C22" s="1">
        <v>2</v>
      </c>
      <c r="D22" s="1" t="s">
        <v>46</v>
      </c>
      <c r="E22" s="1" t="s">
        <v>151</v>
      </c>
      <c r="F22" s="1" t="s">
        <v>25</v>
      </c>
      <c r="H22" t="s">
        <v>75</v>
      </c>
    </row>
    <row r="23" spans="1:8" x14ac:dyDescent="0.25">
      <c r="A23" s="1" t="s">
        <v>26</v>
      </c>
      <c r="B23" s="1" t="s">
        <v>20</v>
      </c>
      <c r="C23" s="1">
        <v>2</v>
      </c>
      <c r="D23" s="1" t="s">
        <v>46</v>
      </c>
      <c r="E23" s="1" t="s">
        <v>151</v>
      </c>
      <c r="F23" s="1" t="s">
        <v>26</v>
      </c>
      <c r="H23" t="s">
        <v>76</v>
      </c>
    </row>
    <row r="24" spans="1:8" x14ac:dyDescent="0.25">
      <c r="A24" s="1" t="s">
        <v>27</v>
      </c>
      <c r="B24" s="1" t="s">
        <v>20</v>
      </c>
      <c r="C24" s="1">
        <v>2</v>
      </c>
      <c r="D24" s="1" t="s">
        <v>46</v>
      </c>
      <c r="E24" s="1" t="s">
        <v>151</v>
      </c>
      <c r="F24" s="1" t="s">
        <v>27</v>
      </c>
      <c r="H24" t="s">
        <v>77</v>
      </c>
    </row>
    <row r="25" spans="1:8" x14ac:dyDescent="0.25">
      <c r="A25" s="1" t="s">
        <v>28</v>
      </c>
      <c r="B25" s="1" t="s">
        <v>20</v>
      </c>
      <c r="C25" s="1">
        <v>2</v>
      </c>
      <c r="D25" s="1" t="s">
        <v>46</v>
      </c>
      <c r="E25" s="1" t="s">
        <v>151</v>
      </c>
      <c r="F25" s="1" t="s">
        <v>28</v>
      </c>
      <c r="H25" t="s">
        <v>78</v>
      </c>
    </row>
    <row r="26" spans="1:8" x14ac:dyDescent="0.25">
      <c r="A26" s="1" t="s">
        <v>29</v>
      </c>
      <c r="B26" s="1" t="s">
        <v>20</v>
      </c>
      <c r="C26" s="1">
        <v>2</v>
      </c>
      <c r="D26" s="1" t="s">
        <v>46</v>
      </c>
      <c r="E26" s="1" t="s">
        <v>151</v>
      </c>
      <c r="F26" s="1" t="s">
        <v>29</v>
      </c>
      <c r="H26" t="s">
        <v>79</v>
      </c>
    </row>
    <row r="27" spans="1:8" x14ac:dyDescent="0.25">
      <c r="A27" s="1" t="s">
        <v>30</v>
      </c>
      <c r="B27" s="1" t="s">
        <v>20</v>
      </c>
      <c r="C27" s="1">
        <v>2</v>
      </c>
      <c r="D27" s="1" t="s">
        <v>46</v>
      </c>
      <c r="E27" s="1" t="s">
        <v>151</v>
      </c>
      <c r="F27" s="1" t="s">
        <v>30</v>
      </c>
      <c r="H27" t="s">
        <v>80</v>
      </c>
    </row>
    <row r="28" spans="1:8" x14ac:dyDescent="0.25">
      <c r="A28" s="1" t="s">
        <v>31</v>
      </c>
      <c r="B28" s="1" t="s">
        <v>20</v>
      </c>
      <c r="C28" s="1">
        <v>2</v>
      </c>
      <c r="D28" s="1" t="s">
        <v>46</v>
      </c>
      <c r="E28" s="1" t="s">
        <v>151</v>
      </c>
      <c r="F28" s="1" t="s">
        <v>31</v>
      </c>
      <c r="H28" t="s">
        <v>81</v>
      </c>
    </row>
    <row r="29" spans="1:8" x14ac:dyDescent="0.25">
      <c r="A29" s="1" t="s">
        <v>32</v>
      </c>
      <c r="B29" s="1" t="s">
        <v>33</v>
      </c>
      <c r="C29" s="1">
        <v>2</v>
      </c>
      <c r="D29" s="1" t="s">
        <v>46</v>
      </c>
      <c r="E29" s="1" t="s">
        <v>151</v>
      </c>
      <c r="F29" s="1" t="s">
        <v>32</v>
      </c>
      <c r="H29" t="s">
        <v>82</v>
      </c>
    </row>
    <row r="30" spans="1:8" x14ac:dyDescent="0.25">
      <c r="A30" s="1" t="s">
        <v>34</v>
      </c>
      <c r="B30" s="1" t="s">
        <v>35</v>
      </c>
      <c r="C30" s="1">
        <v>16</v>
      </c>
      <c r="D30" s="1" t="s">
        <v>46</v>
      </c>
      <c r="E30" s="1" t="s">
        <v>151</v>
      </c>
      <c r="F30" s="1" t="s">
        <v>34</v>
      </c>
      <c r="H30" t="s">
        <v>83</v>
      </c>
    </row>
    <row r="31" spans="1:8" x14ac:dyDescent="0.25">
      <c r="A31" s="1" t="s">
        <v>36</v>
      </c>
      <c r="B31" s="1" t="s">
        <v>35</v>
      </c>
      <c r="C31" s="1">
        <v>2</v>
      </c>
      <c r="D31" s="1" t="s">
        <v>153</v>
      </c>
      <c r="E31" s="1" t="s">
        <v>151</v>
      </c>
      <c r="F31" s="1" t="s">
        <v>36</v>
      </c>
      <c r="H31" t="s">
        <v>84</v>
      </c>
    </row>
    <row r="32" spans="1:8" x14ac:dyDescent="0.25">
      <c r="A32" s="1" t="s">
        <v>37</v>
      </c>
      <c r="B32" s="1" t="s">
        <v>35</v>
      </c>
      <c r="C32" s="1">
        <v>2</v>
      </c>
      <c r="D32" s="1" t="s">
        <v>46</v>
      </c>
      <c r="E32" s="1" t="s">
        <v>151</v>
      </c>
      <c r="F32" s="1" t="s">
        <v>37</v>
      </c>
      <c r="H32" t="s">
        <v>85</v>
      </c>
    </row>
    <row r="33" spans="1:8" x14ac:dyDescent="0.25">
      <c r="A33" s="1" t="s">
        <v>38</v>
      </c>
      <c r="B33" s="1" t="s">
        <v>35</v>
      </c>
      <c r="C33" s="1">
        <v>2</v>
      </c>
      <c r="D33" s="1" t="s">
        <v>46</v>
      </c>
      <c r="E33" s="1" t="s">
        <v>151</v>
      </c>
      <c r="F33" s="1" t="s">
        <v>38</v>
      </c>
      <c r="H33" t="s">
        <v>86</v>
      </c>
    </row>
    <row r="34" spans="1:8" x14ac:dyDescent="0.25">
      <c r="H34" t="s">
        <v>87</v>
      </c>
    </row>
    <row r="35" spans="1:8" x14ac:dyDescent="0.25">
      <c r="H35" t="s">
        <v>88</v>
      </c>
    </row>
    <row r="36" spans="1:8" x14ac:dyDescent="0.25">
      <c r="H36" t="s">
        <v>89</v>
      </c>
    </row>
    <row r="37" spans="1:8" x14ac:dyDescent="0.25">
      <c r="H37" t="s">
        <v>90</v>
      </c>
    </row>
    <row r="38" spans="1:8" x14ac:dyDescent="0.25">
      <c r="H38" t="s">
        <v>91</v>
      </c>
    </row>
    <row r="39" spans="1:8" x14ac:dyDescent="0.25">
      <c r="H39" t="s">
        <v>92</v>
      </c>
    </row>
    <row r="40" spans="1:8" x14ac:dyDescent="0.25">
      <c r="H40" t="s">
        <v>93</v>
      </c>
    </row>
    <row r="41" spans="1:8" x14ac:dyDescent="0.25">
      <c r="H41" t="s">
        <v>94</v>
      </c>
    </row>
    <row r="42" spans="1:8" x14ac:dyDescent="0.25">
      <c r="H42" t="s">
        <v>95</v>
      </c>
    </row>
    <row r="43" spans="1:8" x14ac:dyDescent="0.25">
      <c r="H43" t="s">
        <v>96</v>
      </c>
    </row>
    <row r="44" spans="1:8" x14ac:dyDescent="0.25">
      <c r="H44" t="s">
        <v>97</v>
      </c>
    </row>
    <row r="45" spans="1:8" x14ac:dyDescent="0.25">
      <c r="H45" t="s">
        <v>98</v>
      </c>
    </row>
    <row r="46" spans="1:8" x14ac:dyDescent="0.25">
      <c r="H46" t="s">
        <v>99</v>
      </c>
    </row>
    <row r="47" spans="1:8" x14ac:dyDescent="0.25">
      <c r="H47" t="s">
        <v>100</v>
      </c>
    </row>
    <row r="48" spans="1:8" x14ac:dyDescent="0.25">
      <c r="H48" t="s">
        <v>101</v>
      </c>
    </row>
    <row r="49" spans="8:8" x14ac:dyDescent="0.25">
      <c r="H49" t="s">
        <v>102</v>
      </c>
    </row>
    <row r="50" spans="8:8" x14ac:dyDescent="0.25">
      <c r="H50" t="s">
        <v>103</v>
      </c>
    </row>
    <row r="51" spans="8:8" x14ac:dyDescent="0.25">
      <c r="H51" t="s">
        <v>104</v>
      </c>
    </row>
    <row r="52" spans="8:8" x14ac:dyDescent="0.25">
      <c r="H52" t="s">
        <v>105</v>
      </c>
    </row>
    <row r="53" spans="8:8" x14ac:dyDescent="0.25">
      <c r="H53" t="s">
        <v>106</v>
      </c>
    </row>
    <row r="54" spans="8:8" x14ac:dyDescent="0.25">
      <c r="H54" t="s">
        <v>107</v>
      </c>
    </row>
    <row r="55" spans="8:8" x14ac:dyDescent="0.25">
      <c r="H55" t="s">
        <v>108</v>
      </c>
    </row>
    <row r="56" spans="8:8" x14ac:dyDescent="0.25">
      <c r="H56" t="s">
        <v>109</v>
      </c>
    </row>
    <row r="57" spans="8:8" x14ac:dyDescent="0.25">
      <c r="H57" t="s">
        <v>110</v>
      </c>
    </row>
    <row r="58" spans="8:8" x14ac:dyDescent="0.25">
      <c r="H58" t="s">
        <v>111</v>
      </c>
    </row>
    <row r="59" spans="8:8" x14ac:dyDescent="0.25">
      <c r="H59" t="s">
        <v>112</v>
      </c>
    </row>
    <row r="60" spans="8:8" x14ac:dyDescent="0.25">
      <c r="H60" t="s">
        <v>113</v>
      </c>
    </row>
    <row r="61" spans="8:8" x14ac:dyDescent="0.25">
      <c r="H61" t="s">
        <v>114</v>
      </c>
    </row>
    <row r="62" spans="8:8" x14ac:dyDescent="0.25">
      <c r="H62" t="s">
        <v>115</v>
      </c>
    </row>
    <row r="63" spans="8:8" x14ac:dyDescent="0.25">
      <c r="H63" t="s">
        <v>116</v>
      </c>
    </row>
    <row r="64" spans="8:8" x14ac:dyDescent="0.25">
      <c r="H64" t="s">
        <v>117</v>
      </c>
    </row>
    <row r="65" spans="8:8" x14ac:dyDescent="0.25">
      <c r="H65" t="s">
        <v>118</v>
      </c>
    </row>
    <row r="66" spans="8:8" x14ac:dyDescent="0.25">
      <c r="H66" t="s">
        <v>119</v>
      </c>
    </row>
    <row r="67" spans="8:8" x14ac:dyDescent="0.25">
      <c r="H67" t="s">
        <v>120</v>
      </c>
    </row>
    <row r="68" spans="8:8" x14ac:dyDescent="0.25">
      <c r="H68" t="s">
        <v>121</v>
      </c>
    </row>
    <row r="69" spans="8:8" x14ac:dyDescent="0.25">
      <c r="H69" t="s">
        <v>122</v>
      </c>
    </row>
    <row r="70" spans="8:8" x14ac:dyDescent="0.25">
      <c r="H70" t="s">
        <v>123</v>
      </c>
    </row>
    <row r="71" spans="8:8" x14ac:dyDescent="0.25">
      <c r="H71" t="s">
        <v>124</v>
      </c>
    </row>
    <row r="72" spans="8:8" x14ac:dyDescent="0.25">
      <c r="H72" t="s">
        <v>125</v>
      </c>
    </row>
    <row r="73" spans="8:8" x14ac:dyDescent="0.25">
      <c r="H73" t="s">
        <v>126</v>
      </c>
    </row>
    <row r="74" spans="8:8" x14ac:dyDescent="0.25">
      <c r="H74" t="s">
        <v>127</v>
      </c>
    </row>
    <row r="75" spans="8:8" x14ac:dyDescent="0.25">
      <c r="H75" t="s">
        <v>128</v>
      </c>
    </row>
    <row r="76" spans="8:8" x14ac:dyDescent="0.25">
      <c r="H76" t="s">
        <v>129</v>
      </c>
    </row>
    <row r="77" spans="8:8" x14ac:dyDescent="0.25">
      <c r="H77" t="s">
        <v>130</v>
      </c>
    </row>
    <row r="78" spans="8:8" x14ac:dyDescent="0.25">
      <c r="H78" t="s">
        <v>131</v>
      </c>
    </row>
    <row r="79" spans="8:8" x14ac:dyDescent="0.25">
      <c r="H79" t="s">
        <v>132</v>
      </c>
    </row>
    <row r="80" spans="8:8" x14ac:dyDescent="0.25">
      <c r="H80" t="s">
        <v>133</v>
      </c>
    </row>
    <row r="81" spans="8:8" x14ac:dyDescent="0.25">
      <c r="H81" t="s">
        <v>134</v>
      </c>
    </row>
    <row r="82" spans="8:8" x14ac:dyDescent="0.25">
      <c r="H82" t="s">
        <v>135</v>
      </c>
    </row>
    <row r="83" spans="8:8" x14ac:dyDescent="0.25">
      <c r="H83" t="s">
        <v>136</v>
      </c>
    </row>
    <row r="84" spans="8:8" x14ac:dyDescent="0.25">
      <c r="H84" t="s">
        <v>137</v>
      </c>
    </row>
    <row r="85" spans="8:8" x14ac:dyDescent="0.25">
      <c r="H85" t="s">
        <v>138</v>
      </c>
    </row>
    <row r="86" spans="8:8" x14ac:dyDescent="0.25">
      <c r="H86" t="s">
        <v>139</v>
      </c>
    </row>
    <row r="87" spans="8:8" x14ac:dyDescent="0.25">
      <c r="H87" t="s">
        <v>140</v>
      </c>
    </row>
    <row r="88" spans="8:8" x14ac:dyDescent="0.25">
      <c r="H88" t="s">
        <v>141</v>
      </c>
    </row>
    <row r="89" spans="8:8" x14ac:dyDescent="0.25">
      <c r="H89" t="s">
        <v>142</v>
      </c>
    </row>
    <row r="90" spans="8:8" x14ac:dyDescent="0.25">
      <c r="H90" t="s">
        <v>143</v>
      </c>
    </row>
    <row r="91" spans="8:8" x14ac:dyDescent="0.25">
      <c r="H91" t="s">
        <v>144</v>
      </c>
    </row>
    <row r="92" spans="8:8" x14ac:dyDescent="0.25">
      <c r="H92" t="s">
        <v>145</v>
      </c>
    </row>
    <row r="93" spans="8:8" x14ac:dyDescent="0.25">
      <c r="H93" t="s">
        <v>146</v>
      </c>
    </row>
    <row r="94" spans="8:8" x14ac:dyDescent="0.25">
      <c r="H94" t="s">
        <v>147</v>
      </c>
    </row>
  </sheetData>
  <dataValidations count="2">
    <dataValidation allowBlank="1" showInputMessage="1" showErrorMessage="1" promptTitle="Webhook URL" prompt="Paste the link from your Teams 'Send webhook alerts' workflow (starts with https://)." sqref="K2" xr:uid="{48EB0E1F-14B7-47FB-B876-A07270048CCB}"/>
    <dataValidation type="list" allowBlank="1" showInputMessage="1" showErrorMessage="1" promptTitle="RTD server" prompt="NG = ngmd.rtdserver,  TT = tt.rtd (TT Excel add-in)" sqref="K11" xr:uid="{0B8AAC7D-AA9D-4E2C-9160-5CE672659F51}">
      <formula1>"NG,TT"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F844-D125-46EE-B50D-EB003F214CED}">
  <sheetPr codeName="Sheet4"/>
  <dimension ref="A1:B264"/>
  <sheetViews>
    <sheetView workbookViewId="0">
      <pane ySplit="5" topLeftCell="A6" activePane="bottomLeft" state="frozen"/>
      <selection pane="bottomLeft" activeCell="F26" sqref="F26"/>
    </sheetView>
  </sheetViews>
  <sheetFormatPr defaultRowHeight="15" x14ac:dyDescent="0.25"/>
  <cols>
    <col min="1" max="1" width="43.85546875" customWidth="1"/>
    <col min="2" max="2" width="11.42578125" customWidth="1"/>
  </cols>
  <sheetData>
    <row r="1" spans="1:2" ht="18.75" x14ac:dyDescent="0.3">
      <c r="A1" s="3" t="s">
        <v>154</v>
      </c>
    </row>
    <row r="2" spans="1:2" x14ac:dyDescent="0.25">
      <c r="A2" t="s">
        <v>155</v>
      </c>
      <c r="B2" s="10">
        <f ca="1">EOMONTH(TODAY(),-1)+1</f>
        <v>46296</v>
      </c>
    </row>
    <row r="3" spans="1:2" x14ac:dyDescent="0.25">
      <c r="A3" t="s">
        <v>156</v>
      </c>
      <c r="B3" s="1">
        <v>4</v>
      </c>
    </row>
    <row r="4" spans="1:2" x14ac:dyDescent="0.25">
      <c r="A4" t="s">
        <v>157</v>
      </c>
      <c r="B4">
        <f ca="1">ROWS(_xlfn.ANCHORARRAY(A6))</f>
        <v>259</v>
      </c>
    </row>
    <row r="5" spans="1:2" x14ac:dyDescent="0.25">
      <c r="A5" s="2" t="s">
        <v>41</v>
      </c>
      <c r="B5" s="2" t="s">
        <v>43</v>
      </c>
    </row>
    <row r="6" spans="1:2" x14ac:dyDescent="0.25">
      <c r="A6" t="str" cm="1">
        <f t="array" aca="1" ref="A6:B264" ca="1">_xlfn.LET(_xlpm.start,$B$2,_xlpm.serN,$B$3,_xlpm.mons,EDATE(_xlpm.start,_xlfn.SEQUENCE(240,,0)),_xlpm.isQ,MOD(MONTH(_xlpm.mons),3)=0,_xlpm.qMons,_xlfn._xlws.FILTER(_xlpm.mons,_xlpm.isQ),_xlpm.sMons,_xlfn._xlws.FILTER(_xlpm.mons,NOT(_xlpm.isQ)),_xlpm.grp,exch_map[Group],_xlpm.num,exch_map[num_contract],_xlpm.wch,exch_map[Watch],_xlpm.typ,exch_map[Type],_xlpm.res,_xlfn.REDUCE({"",""},_xlfn.SEQUENCE(ROWS(_xlpm.grp)),_xlfn.LAMBDA(_xlpm.acc,_xlpm.k,_xlfn.LET(_xlpm.gName,INDEX(_xlpm.grp,_xlpm.k),_xlpm.nCnt,INDEX(_xlpm.num,_xlpm.k),_xlpm.tName,INDEX(_xlpm.typ,_xlpm.k),IF(N(_xlpm.nCnt)&lt;1,_xlpm.acc,_xlfn.LET(_xlpm.mths,IF(_xlpm.tName="Serial",_xlfn.TAKE(_xlpm.mons,_xlpm.nCnt),IF(_xlpm.tName="Serial+Quarterly",_xlfn._xlws.SORT(_xlfn.VSTACK(_xlfn.TAKE(_xlpm.sMons,_xlpm.serN),_xlfn.TAKE(_xlpm.qMons,_xlpm.nCnt))),_xlfn.TAKE(_xlpm.qMons,_xlpm.nCnt))),_xlpm.pName,IF(ISNUMBER(FIND("|",_xlpm.gName)),_xlfn.TEXTBEFORE(_xlpm.gName,"|")&amp;" "&amp;TEXT(_xlpm.mths,"Mmmyy")&amp;" - "&amp;_xlfn.TEXTAFTER(_xlpm.gName,"|")&amp;" "&amp;TEXT(_xlpm.mths,"Mmmyy")&amp;" Inter-Product",_xlpm.gName&amp;" "&amp;UPPER(TEXT(_xlpm.mths,"mmmyy"))),_xlfn.VSTACK(_xlpm.acc,_xlfn.HSTACK(_xlpm.pName,IF(ISTEXT(_xlpm.pName),INDEX(_xlpm.wch,_xlpm.k))))))))),_xlfn.DROP(_xlpm.res,1))</f>
        <v>ER3 OCT26</v>
      </c>
      <c r="B6" t="str">
        <f ca="1"/>
        <v>Y</v>
      </c>
    </row>
    <row r="7" spans="1:2" x14ac:dyDescent="0.25">
      <c r="A7" t="str">
        <f ca="1"/>
        <v>ER3 NOV26</v>
      </c>
      <c r="B7" t="str">
        <f ca="1"/>
        <v>Y</v>
      </c>
    </row>
    <row r="8" spans="1:2" x14ac:dyDescent="0.25">
      <c r="A8" t="str">
        <f ca="1"/>
        <v>ER3 DEC26</v>
      </c>
      <c r="B8" t="str">
        <f ca="1"/>
        <v>Y</v>
      </c>
    </row>
    <row r="9" spans="1:2" x14ac:dyDescent="0.25">
      <c r="A9" t="str">
        <f ca="1"/>
        <v>ER3 JAN27</v>
      </c>
      <c r="B9" t="str">
        <f ca="1"/>
        <v>Y</v>
      </c>
    </row>
    <row r="10" spans="1:2" x14ac:dyDescent="0.25">
      <c r="A10" t="str">
        <f ca="1"/>
        <v>ER3 FEB27</v>
      </c>
      <c r="B10" t="str">
        <f ca="1"/>
        <v>Y</v>
      </c>
    </row>
    <row r="11" spans="1:2" x14ac:dyDescent="0.25">
      <c r="A11" t="str">
        <f ca="1"/>
        <v>ER3 MAR27</v>
      </c>
      <c r="B11" t="str">
        <f ca="1"/>
        <v>Y</v>
      </c>
    </row>
    <row r="12" spans="1:2" x14ac:dyDescent="0.25">
      <c r="A12" t="str">
        <f ca="1"/>
        <v>ER3 JUN27</v>
      </c>
      <c r="B12" t="str">
        <f ca="1"/>
        <v>Y</v>
      </c>
    </row>
    <row r="13" spans="1:2" x14ac:dyDescent="0.25">
      <c r="A13" t="str">
        <f ca="1"/>
        <v>ER3 SEP27</v>
      </c>
      <c r="B13" t="str">
        <f ca="1"/>
        <v>Y</v>
      </c>
    </row>
    <row r="14" spans="1:2" x14ac:dyDescent="0.25">
      <c r="A14" t="str">
        <f ca="1"/>
        <v>ER3 DEC27</v>
      </c>
      <c r="B14" t="str">
        <f ca="1"/>
        <v>Y</v>
      </c>
    </row>
    <row r="15" spans="1:2" x14ac:dyDescent="0.25">
      <c r="A15" t="str">
        <f ca="1"/>
        <v>ER3 MAR28</v>
      </c>
      <c r="B15" t="str">
        <f ca="1"/>
        <v>Y</v>
      </c>
    </row>
    <row r="16" spans="1:2" x14ac:dyDescent="0.25">
      <c r="A16" t="str">
        <f ca="1"/>
        <v>ER3 JUN28</v>
      </c>
      <c r="B16" t="str">
        <f ca="1"/>
        <v>Y</v>
      </c>
    </row>
    <row r="17" spans="1:2" x14ac:dyDescent="0.25">
      <c r="A17" t="str">
        <f ca="1"/>
        <v>ER3 SEP28</v>
      </c>
      <c r="B17" t="str">
        <f ca="1"/>
        <v>Y</v>
      </c>
    </row>
    <row r="18" spans="1:2" x14ac:dyDescent="0.25">
      <c r="A18" t="str">
        <f ca="1"/>
        <v>ER3 DEC28</v>
      </c>
      <c r="B18" t="str">
        <f ca="1"/>
        <v>Y</v>
      </c>
    </row>
    <row r="19" spans="1:2" x14ac:dyDescent="0.25">
      <c r="A19" t="str">
        <f ca="1"/>
        <v>ER3 MAR29</v>
      </c>
      <c r="B19" t="str">
        <f ca="1"/>
        <v>Y</v>
      </c>
    </row>
    <row r="20" spans="1:2" x14ac:dyDescent="0.25">
      <c r="A20" t="str">
        <f ca="1"/>
        <v>ER3 JUN29</v>
      </c>
      <c r="B20" t="str">
        <f ca="1"/>
        <v>Y</v>
      </c>
    </row>
    <row r="21" spans="1:2" x14ac:dyDescent="0.25">
      <c r="A21" t="str">
        <f ca="1"/>
        <v>ER3 SEP29</v>
      </c>
      <c r="B21" t="str">
        <f ca="1"/>
        <v>Y</v>
      </c>
    </row>
    <row r="22" spans="1:2" x14ac:dyDescent="0.25">
      <c r="A22" t="str">
        <f ca="1"/>
        <v>ER3 DEC29</v>
      </c>
      <c r="B22" t="str">
        <f ca="1"/>
        <v>Y</v>
      </c>
    </row>
    <row r="23" spans="1:2" x14ac:dyDescent="0.25">
      <c r="A23" t="str">
        <f ca="1"/>
        <v>ER3 MAR30</v>
      </c>
      <c r="B23" t="str">
        <f ca="1"/>
        <v>Y</v>
      </c>
    </row>
    <row r="24" spans="1:2" x14ac:dyDescent="0.25">
      <c r="A24" t="str">
        <f ca="1"/>
        <v>ER3 JUN30</v>
      </c>
      <c r="B24" t="str">
        <f ca="1"/>
        <v>Y</v>
      </c>
    </row>
    <row r="25" spans="1:2" x14ac:dyDescent="0.25">
      <c r="A25" t="str">
        <f ca="1"/>
        <v>ER3 SEP30</v>
      </c>
      <c r="B25" t="str">
        <f ca="1"/>
        <v>Y</v>
      </c>
    </row>
    <row r="26" spans="1:2" x14ac:dyDescent="0.25">
      <c r="A26" t="str">
        <f ca="1"/>
        <v>ER3 DEC30</v>
      </c>
      <c r="B26" t="str">
        <f ca="1"/>
        <v>Y</v>
      </c>
    </row>
    <row r="27" spans="1:2" x14ac:dyDescent="0.25">
      <c r="A27" t="str">
        <f ca="1"/>
        <v>ER3 MAR31</v>
      </c>
      <c r="B27" t="str">
        <f ca="1"/>
        <v>Y</v>
      </c>
    </row>
    <row r="28" spans="1:2" x14ac:dyDescent="0.25">
      <c r="A28" t="str">
        <f ca="1"/>
        <v>ER3 JUN31</v>
      </c>
      <c r="B28" t="str">
        <f ca="1"/>
        <v>Y</v>
      </c>
    </row>
    <row r="29" spans="1:2" x14ac:dyDescent="0.25">
      <c r="A29" t="str">
        <f ca="1"/>
        <v>ER3 SEP31</v>
      </c>
      <c r="B29" t="str">
        <f ca="1"/>
        <v>Y</v>
      </c>
    </row>
    <row r="30" spans="1:2" x14ac:dyDescent="0.25">
      <c r="A30" t="str">
        <f ca="1"/>
        <v>ER3 DEC31</v>
      </c>
      <c r="B30" t="str">
        <f ca="1"/>
        <v>Y</v>
      </c>
    </row>
    <row r="31" spans="1:2" x14ac:dyDescent="0.25">
      <c r="A31" t="str">
        <f ca="1"/>
        <v>ER3 MAR32</v>
      </c>
      <c r="B31" t="str">
        <f ca="1"/>
        <v>Y</v>
      </c>
    </row>
    <row r="32" spans="1:2" x14ac:dyDescent="0.25">
      <c r="A32" t="str">
        <f ca="1"/>
        <v>ER3 JUN32</v>
      </c>
      <c r="B32" t="str">
        <f ca="1"/>
        <v>Y</v>
      </c>
    </row>
    <row r="33" spans="1:2" x14ac:dyDescent="0.25">
      <c r="A33" t="str">
        <f ca="1"/>
        <v>ER3 SEP32</v>
      </c>
      <c r="B33" t="str">
        <f ca="1"/>
        <v>Y</v>
      </c>
    </row>
    <row r="34" spans="1:2" x14ac:dyDescent="0.25">
      <c r="A34" t="str">
        <f ca="1"/>
        <v>I OCT26</v>
      </c>
      <c r="B34" t="str">
        <f ca="1"/>
        <v>Y</v>
      </c>
    </row>
    <row r="35" spans="1:2" x14ac:dyDescent="0.25">
      <c r="A35" t="str">
        <f ca="1"/>
        <v>I NOV26</v>
      </c>
      <c r="B35" t="str">
        <f ca="1"/>
        <v>Y</v>
      </c>
    </row>
    <row r="36" spans="1:2" x14ac:dyDescent="0.25">
      <c r="A36" t="str">
        <f ca="1"/>
        <v>I DEC26</v>
      </c>
      <c r="B36" t="str">
        <f ca="1"/>
        <v>Y</v>
      </c>
    </row>
    <row r="37" spans="1:2" x14ac:dyDescent="0.25">
      <c r="A37" t="str">
        <f ca="1"/>
        <v>I JAN27</v>
      </c>
      <c r="B37" t="str">
        <f ca="1"/>
        <v>Y</v>
      </c>
    </row>
    <row r="38" spans="1:2" x14ac:dyDescent="0.25">
      <c r="A38" t="str">
        <f ca="1"/>
        <v>I FEB27</v>
      </c>
      <c r="B38" t="str">
        <f ca="1"/>
        <v>Y</v>
      </c>
    </row>
    <row r="39" spans="1:2" x14ac:dyDescent="0.25">
      <c r="A39" t="str">
        <f ca="1"/>
        <v>I MAR27</v>
      </c>
      <c r="B39" t="str">
        <f ca="1"/>
        <v>Y</v>
      </c>
    </row>
    <row r="40" spans="1:2" x14ac:dyDescent="0.25">
      <c r="A40" t="str">
        <f ca="1"/>
        <v>I JUN27</v>
      </c>
      <c r="B40" t="str">
        <f ca="1"/>
        <v>Y</v>
      </c>
    </row>
    <row r="41" spans="1:2" x14ac:dyDescent="0.25">
      <c r="A41" t="str">
        <f ca="1"/>
        <v>I SEP27</v>
      </c>
      <c r="B41" t="str">
        <f ca="1"/>
        <v>Y</v>
      </c>
    </row>
    <row r="42" spans="1:2" x14ac:dyDescent="0.25">
      <c r="A42" t="str">
        <f ca="1"/>
        <v>I DEC27</v>
      </c>
      <c r="B42" t="str">
        <f ca="1"/>
        <v>Y</v>
      </c>
    </row>
    <row r="43" spans="1:2" x14ac:dyDescent="0.25">
      <c r="A43" t="str">
        <f ca="1"/>
        <v>I MAR28</v>
      </c>
      <c r="B43" t="str">
        <f ca="1"/>
        <v>Y</v>
      </c>
    </row>
    <row r="44" spans="1:2" x14ac:dyDescent="0.25">
      <c r="A44" t="str">
        <f ca="1"/>
        <v>I JUN28</v>
      </c>
      <c r="B44" t="str">
        <f ca="1"/>
        <v>Y</v>
      </c>
    </row>
    <row r="45" spans="1:2" x14ac:dyDescent="0.25">
      <c r="A45" t="str">
        <f ca="1"/>
        <v>I SEP28</v>
      </c>
      <c r="B45" t="str">
        <f ca="1"/>
        <v>Y</v>
      </c>
    </row>
    <row r="46" spans="1:2" x14ac:dyDescent="0.25">
      <c r="A46" t="str">
        <f ca="1"/>
        <v>I DEC28</v>
      </c>
      <c r="B46" t="str">
        <f ca="1"/>
        <v>Y</v>
      </c>
    </row>
    <row r="47" spans="1:2" x14ac:dyDescent="0.25">
      <c r="A47" t="str">
        <f ca="1"/>
        <v>I MAR29</v>
      </c>
      <c r="B47" t="str">
        <f ca="1"/>
        <v>Y</v>
      </c>
    </row>
    <row r="48" spans="1:2" x14ac:dyDescent="0.25">
      <c r="A48" t="str">
        <f ca="1"/>
        <v>I JUN29</v>
      </c>
      <c r="B48" t="str">
        <f ca="1"/>
        <v>Y</v>
      </c>
    </row>
    <row r="49" spans="1:2" x14ac:dyDescent="0.25">
      <c r="A49" t="str">
        <f ca="1"/>
        <v>I SEP29</v>
      </c>
      <c r="B49" t="str">
        <f ca="1"/>
        <v>Y</v>
      </c>
    </row>
    <row r="50" spans="1:2" x14ac:dyDescent="0.25">
      <c r="A50" t="str">
        <f ca="1"/>
        <v>I DEC29</v>
      </c>
      <c r="B50" t="str">
        <f ca="1"/>
        <v>Y</v>
      </c>
    </row>
    <row r="51" spans="1:2" x14ac:dyDescent="0.25">
      <c r="A51" t="str">
        <f ca="1"/>
        <v>I MAR30</v>
      </c>
      <c r="B51" t="str">
        <f ca="1"/>
        <v>Y</v>
      </c>
    </row>
    <row r="52" spans="1:2" x14ac:dyDescent="0.25">
      <c r="A52" t="str">
        <f ca="1"/>
        <v>I JUN30</v>
      </c>
      <c r="B52" t="str">
        <f ca="1"/>
        <v>Y</v>
      </c>
    </row>
    <row r="53" spans="1:2" x14ac:dyDescent="0.25">
      <c r="A53" t="str">
        <f ca="1"/>
        <v>I SEP30</v>
      </c>
      <c r="B53" t="str">
        <f ca="1"/>
        <v>Y</v>
      </c>
    </row>
    <row r="54" spans="1:2" x14ac:dyDescent="0.25">
      <c r="A54" t="str">
        <f ca="1"/>
        <v>I DEC30</v>
      </c>
      <c r="B54" t="str">
        <f ca="1"/>
        <v>Y</v>
      </c>
    </row>
    <row r="55" spans="1:2" x14ac:dyDescent="0.25">
      <c r="A55" t="str">
        <f ca="1"/>
        <v>I MAR31</v>
      </c>
      <c r="B55" t="str">
        <f ca="1"/>
        <v>Y</v>
      </c>
    </row>
    <row r="56" spans="1:2" x14ac:dyDescent="0.25">
      <c r="A56" t="str">
        <f ca="1"/>
        <v>I JUN31</v>
      </c>
      <c r="B56" t="str">
        <f ca="1"/>
        <v>Y</v>
      </c>
    </row>
    <row r="57" spans="1:2" x14ac:dyDescent="0.25">
      <c r="A57" t="str">
        <f ca="1"/>
        <v>I SEP31</v>
      </c>
      <c r="B57" t="str">
        <f ca="1"/>
        <v>Y</v>
      </c>
    </row>
    <row r="58" spans="1:2" x14ac:dyDescent="0.25">
      <c r="A58" t="str">
        <f ca="1"/>
        <v>I DEC31</v>
      </c>
      <c r="B58" t="str">
        <f ca="1"/>
        <v>Y</v>
      </c>
    </row>
    <row r="59" spans="1:2" x14ac:dyDescent="0.25">
      <c r="A59" t="str">
        <f ca="1"/>
        <v>I MAR32</v>
      </c>
      <c r="B59" t="str">
        <f ca="1"/>
        <v>Y</v>
      </c>
    </row>
    <row r="60" spans="1:2" x14ac:dyDescent="0.25">
      <c r="A60" t="str">
        <f ca="1"/>
        <v>I JUN32</v>
      </c>
      <c r="B60" t="str">
        <f ca="1"/>
        <v>Y</v>
      </c>
    </row>
    <row r="61" spans="1:2" x14ac:dyDescent="0.25">
      <c r="A61" t="str">
        <f ca="1"/>
        <v>I SEP32</v>
      </c>
      <c r="B61" t="str">
        <f ca="1"/>
        <v>Y</v>
      </c>
    </row>
    <row r="62" spans="1:2" x14ac:dyDescent="0.25">
      <c r="A62" t="str">
        <f ca="1"/>
        <v>I Oct26 - ER3 Oct26 Inter-Product</v>
      </c>
      <c r="B62" t="str">
        <f ca="1"/>
        <v>Y</v>
      </c>
    </row>
    <row r="63" spans="1:2" x14ac:dyDescent="0.25">
      <c r="A63" t="str">
        <f ca="1"/>
        <v>I Nov26 - ER3 Nov26 Inter-Product</v>
      </c>
      <c r="B63" t="str">
        <f ca="1"/>
        <v>Y</v>
      </c>
    </row>
    <row r="64" spans="1:2" x14ac:dyDescent="0.25">
      <c r="A64" t="str">
        <f ca="1"/>
        <v>I Dec26 - ER3 Dec26 Inter-Product</v>
      </c>
      <c r="B64" t="str">
        <f ca="1"/>
        <v>Y</v>
      </c>
    </row>
    <row r="65" spans="1:2" x14ac:dyDescent="0.25">
      <c r="A65" t="str">
        <f ca="1"/>
        <v>I Jan27 - ER3 Jan27 Inter-Product</v>
      </c>
      <c r="B65" t="str">
        <f ca="1"/>
        <v>Y</v>
      </c>
    </row>
    <row r="66" spans="1:2" x14ac:dyDescent="0.25">
      <c r="A66" t="str">
        <f ca="1"/>
        <v>I Feb27 - ER3 Feb27 Inter-Product</v>
      </c>
      <c r="B66" t="str">
        <f ca="1"/>
        <v>Y</v>
      </c>
    </row>
    <row r="67" spans="1:2" x14ac:dyDescent="0.25">
      <c r="A67" t="str">
        <f ca="1"/>
        <v>I Mar27 - ER3 Mar27 Inter-Product</v>
      </c>
      <c r="B67" t="str">
        <f ca="1"/>
        <v>Y</v>
      </c>
    </row>
    <row r="68" spans="1:2" x14ac:dyDescent="0.25">
      <c r="A68" t="str">
        <f ca="1"/>
        <v>I Jun27 - ER3 Jun27 Inter-Product</v>
      </c>
      <c r="B68" t="str">
        <f ca="1"/>
        <v>Y</v>
      </c>
    </row>
    <row r="69" spans="1:2" x14ac:dyDescent="0.25">
      <c r="A69" t="str">
        <f ca="1"/>
        <v>I Sep27 - ER3 Sep27 Inter-Product</v>
      </c>
      <c r="B69" t="str">
        <f ca="1"/>
        <v>Y</v>
      </c>
    </row>
    <row r="70" spans="1:2" x14ac:dyDescent="0.25">
      <c r="A70" t="str">
        <f ca="1"/>
        <v>I Dec27 - ER3 Dec27 Inter-Product</v>
      </c>
      <c r="B70" t="str">
        <f ca="1"/>
        <v>Y</v>
      </c>
    </row>
    <row r="71" spans="1:2" x14ac:dyDescent="0.25">
      <c r="A71" t="str">
        <f ca="1"/>
        <v>I Mar28 - ER3 Mar28 Inter-Product</v>
      </c>
      <c r="B71" t="str">
        <f ca="1"/>
        <v>Y</v>
      </c>
    </row>
    <row r="72" spans="1:2" x14ac:dyDescent="0.25">
      <c r="A72" t="str">
        <f ca="1"/>
        <v>I Jun28 - ER3 Jun28 Inter-Product</v>
      </c>
      <c r="B72" t="str">
        <f ca="1"/>
        <v>Y</v>
      </c>
    </row>
    <row r="73" spans="1:2" x14ac:dyDescent="0.25">
      <c r="A73" t="str">
        <f ca="1"/>
        <v>I Sep28 - ER3 Sep28 Inter-Product</v>
      </c>
      <c r="B73" t="str">
        <f ca="1"/>
        <v>Y</v>
      </c>
    </row>
    <row r="74" spans="1:2" x14ac:dyDescent="0.25">
      <c r="A74" t="str">
        <f ca="1"/>
        <v>I Dec28 - ER3 Dec28 Inter-Product</v>
      </c>
      <c r="B74" t="str">
        <f ca="1"/>
        <v>Y</v>
      </c>
    </row>
    <row r="75" spans="1:2" x14ac:dyDescent="0.25">
      <c r="A75" t="str">
        <f ca="1"/>
        <v>I Mar29 - ER3 Mar29 Inter-Product</v>
      </c>
      <c r="B75" t="str">
        <f ca="1"/>
        <v>Y</v>
      </c>
    </row>
    <row r="76" spans="1:2" x14ac:dyDescent="0.25">
      <c r="A76" t="str">
        <f ca="1"/>
        <v>I Jun29 - ER3 Jun29 Inter-Product</v>
      </c>
      <c r="B76" t="str">
        <f ca="1"/>
        <v>Y</v>
      </c>
    </row>
    <row r="77" spans="1:2" x14ac:dyDescent="0.25">
      <c r="A77" t="str">
        <f ca="1"/>
        <v>I Sep29 - ER3 Sep29 Inter-Product</v>
      </c>
      <c r="B77" t="str">
        <f ca="1"/>
        <v>Y</v>
      </c>
    </row>
    <row r="78" spans="1:2" x14ac:dyDescent="0.25">
      <c r="A78" t="str">
        <f ca="1"/>
        <v>I Dec29 - ER3 Dec29 Inter-Product</v>
      </c>
      <c r="B78" t="str">
        <f ca="1"/>
        <v>Y</v>
      </c>
    </row>
    <row r="79" spans="1:2" x14ac:dyDescent="0.25">
      <c r="A79" t="str">
        <f ca="1"/>
        <v>I Mar30 - ER3 Mar30 Inter-Product</v>
      </c>
      <c r="B79" t="str">
        <f ca="1"/>
        <v>Y</v>
      </c>
    </row>
    <row r="80" spans="1:2" x14ac:dyDescent="0.25">
      <c r="A80" t="str">
        <f ca="1"/>
        <v>I Jun30 - ER3 Jun30 Inter-Product</v>
      </c>
      <c r="B80" t="str">
        <f ca="1"/>
        <v>Y</v>
      </c>
    </row>
    <row r="81" spans="1:2" x14ac:dyDescent="0.25">
      <c r="A81" t="str">
        <f ca="1"/>
        <v>I Sep30 - ER3 Sep30 Inter-Product</v>
      </c>
      <c r="B81" t="str">
        <f ca="1"/>
        <v>Y</v>
      </c>
    </row>
    <row r="82" spans="1:2" x14ac:dyDescent="0.25">
      <c r="A82" t="str">
        <f ca="1"/>
        <v>I Dec30 - ER3 Dec30 Inter-Product</v>
      </c>
      <c r="B82" t="str">
        <f ca="1"/>
        <v>Y</v>
      </c>
    </row>
    <row r="83" spans="1:2" x14ac:dyDescent="0.25">
      <c r="A83" t="str">
        <f ca="1"/>
        <v>I Mar31 - ER3 Mar31 Inter-Product</v>
      </c>
      <c r="B83" t="str">
        <f ca="1"/>
        <v>Y</v>
      </c>
    </row>
    <row r="84" spans="1:2" x14ac:dyDescent="0.25">
      <c r="A84" t="str">
        <f ca="1"/>
        <v>I Jun31 - ER3 Jun31 Inter-Product</v>
      </c>
      <c r="B84" t="str">
        <f ca="1"/>
        <v>Y</v>
      </c>
    </row>
    <row r="85" spans="1:2" x14ac:dyDescent="0.25">
      <c r="A85" t="str">
        <f ca="1"/>
        <v>I Sep31 - ER3 Sep31 Inter-Product</v>
      </c>
      <c r="B85" t="str">
        <f ca="1"/>
        <v>Y</v>
      </c>
    </row>
    <row r="86" spans="1:2" x14ac:dyDescent="0.25">
      <c r="A86" t="str">
        <f ca="1"/>
        <v>I Dec31 - ER3 Dec31 Inter-Product</v>
      </c>
      <c r="B86" t="str">
        <f ca="1"/>
        <v>Y</v>
      </c>
    </row>
    <row r="87" spans="1:2" x14ac:dyDescent="0.25">
      <c r="A87" t="str">
        <f ca="1"/>
        <v>I Mar32 - ER3 Mar32 Inter-Product</v>
      </c>
      <c r="B87" t="str">
        <f ca="1"/>
        <v>Y</v>
      </c>
    </row>
    <row r="88" spans="1:2" x14ac:dyDescent="0.25">
      <c r="A88" t="str">
        <f ca="1"/>
        <v>I Jun32 - ER3 Jun32 Inter-Product</v>
      </c>
      <c r="B88" t="str">
        <f ca="1"/>
        <v>Y</v>
      </c>
    </row>
    <row r="89" spans="1:2" x14ac:dyDescent="0.25">
      <c r="A89" t="str">
        <f ca="1"/>
        <v>I Sep32 - ER3 Sep32 Inter-Product</v>
      </c>
      <c r="B89" t="str">
        <f ca="1"/>
        <v>Y</v>
      </c>
    </row>
    <row r="90" spans="1:2" x14ac:dyDescent="0.25">
      <c r="A90" t="str">
        <f ca="1"/>
        <v>MPC OCT26</v>
      </c>
      <c r="B90" t="str">
        <f ca="1"/>
        <v>Y</v>
      </c>
    </row>
    <row r="91" spans="1:2" x14ac:dyDescent="0.25">
      <c r="A91" t="str">
        <f ca="1"/>
        <v>MPC NOV26</v>
      </c>
      <c r="B91" t="str">
        <f ca="1"/>
        <v>Y</v>
      </c>
    </row>
    <row r="92" spans="1:2" x14ac:dyDescent="0.25">
      <c r="A92" t="str">
        <f ca="1"/>
        <v>MPC DEC26</v>
      </c>
      <c r="B92" t="str">
        <f ca="1"/>
        <v>Y</v>
      </c>
    </row>
    <row r="93" spans="1:2" x14ac:dyDescent="0.25">
      <c r="A93" t="str">
        <f ca="1"/>
        <v>MPC JAN27</v>
      </c>
      <c r="B93" t="str">
        <f ca="1"/>
        <v>Y</v>
      </c>
    </row>
    <row r="94" spans="1:2" x14ac:dyDescent="0.25">
      <c r="A94" t="str">
        <f ca="1"/>
        <v>MPC FEB27</v>
      </c>
      <c r="B94" t="str">
        <f ca="1"/>
        <v>Y</v>
      </c>
    </row>
    <row r="95" spans="1:2" x14ac:dyDescent="0.25">
      <c r="A95" t="str">
        <f ca="1"/>
        <v>MPC MAR27</v>
      </c>
      <c r="B95" t="str">
        <f ca="1"/>
        <v>Y</v>
      </c>
    </row>
    <row r="96" spans="1:2" x14ac:dyDescent="0.25">
      <c r="A96" t="str">
        <f ca="1"/>
        <v>MPC JUN27</v>
      </c>
      <c r="B96" t="str">
        <f ca="1"/>
        <v>Y</v>
      </c>
    </row>
    <row r="97" spans="1:2" x14ac:dyDescent="0.25">
      <c r="A97" t="str">
        <f ca="1"/>
        <v>MPC SEP27</v>
      </c>
      <c r="B97" t="str">
        <f ca="1"/>
        <v>Y</v>
      </c>
    </row>
    <row r="98" spans="1:2" x14ac:dyDescent="0.25">
      <c r="A98" t="str">
        <f ca="1"/>
        <v>MPC DEC27</v>
      </c>
      <c r="B98" t="str">
        <f ca="1"/>
        <v>Y</v>
      </c>
    </row>
    <row r="99" spans="1:2" x14ac:dyDescent="0.25">
      <c r="A99" t="str">
        <f ca="1"/>
        <v>MPC MAR28</v>
      </c>
      <c r="B99" t="str">
        <f ca="1"/>
        <v>Y</v>
      </c>
    </row>
    <row r="100" spans="1:2" x14ac:dyDescent="0.25">
      <c r="A100" t="str">
        <f ca="1"/>
        <v>MPC JUN28</v>
      </c>
      <c r="B100" t="str">
        <f ca="1"/>
        <v>Y</v>
      </c>
    </row>
    <row r="101" spans="1:2" x14ac:dyDescent="0.25">
      <c r="A101" t="str">
        <f ca="1"/>
        <v>MPC SEP28</v>
      </c>
      <c r="B101" t="str">
        <f ca="1"/>
        <v>Y</v>
      </c>
    </row>
    <row r="102" spans="1:2" x14ac:dyDescent="0.25">
      <c r="A102" t="str">
        <f ca="1"/>
        <v>R DEC26</v>
      </c>
      <c r="B102" t="str">
        <f ca="1"/>
        <v>Y</v>
      </c>
    </row>
    <row r="103" spans="1:2" x14ac:dyDescent="0.25">
      <c r="A103" t="str">
        <f ca="1"/>
        <v>SA3 DEC26</v>
      </c>
      <c r="B103" t="str">
        <f ca="1"/>
        <v>Y</v>
      </c>
    </row>
    <row r="104" spans="1:2" x14ac:dyDescent="0.25">
      <c r="A104" t="str">
        <f ca="1"/>
        <v>SA3 MAR27</v>
      </c>
      <c r="B104" t="str">
        <f ca="1"/>
        <v>Y</v>
      </c>
    </row>
    <row r="105" spans="1:2" x14ac:dyDescent="0.25">
      <c r="A105" t="str">
        <f ca="1"/>
        <v>SA3 JUN27</v>
      </c>
      <c r="B105" t="str">
        <f ca="1"/>
        <v>Y</v>
      </c>
    </row>
    <row r="106" spans="1:2" x14ac:dyDescent="0.25">
      <c r="A106" t="str">
        <f ca="1"/>
        <v>SA3 SEP27</v>
      </c>
      <c r="B106" t="str">
        <f ca="1"/>
        <v>Y</v>
      </c>
    </row>
    <row r="107" spans="1:2" x14ac:dyDescent="0.25">
      <c r="A107" t="str">
        <f ca="1"/>
        <v>SA3 DEC27</v>
      </c>
      <c r="B107" t="str">
        <f ca="1"/>
        <v>Y</v>
      </c>
    </row>
    <row r="108" spans="1:2" x14ac:dyDescent="0.25">
      <c r="A108" t="str">
        <f ca="1"/>
        <v>SA3 MAR28</v>
      </c>
      <c r="B108" t="str">
        <f ca="1"/>
        <v>Y</v>
      </c>
    </row>
    <row r="109" spans="1:2" x14ac:dyDescent="0.25">
      <c r="A109" t="str">
        <f ca="1"/>
        <v>SA3 JUN28</v>
      </c>
      <c r="B109" t="str">
        <f ca="1"/>
        <v>Y</v>
      </c>
    </row>
    <row r="110" spans="1:2" x14ac:dyDescent="0.25">
      <c r="A110" t="str">
        <f ca="1"/>
        <v>SA3 SEP28</v>
      </c>
      <c r="B110" t="str">
        <f ca="1"/>
        <v>Y</v>
      </c>
    </row>
    <row r="111" spans="1:2" x14ac:dyDescent="0.25">
      <c r="A111" t="str">
        <f ca="1"/>
        <v>SA3 DEC28</v>
      </c>
      <c r="B111" t="str">
        <f ca="1"/>
        <v>Y</v>
      </c>
    </row>
    <row r="112" spans="1:2" x14ac:dyDescent="0.25">
      <c r="A112" t="str">
        <f ca="1"/>
        <v>SA3 MAR29</v>
      </c>
      <c r="B112" t="str">
        <f ca="1"/>
        <v>Y</v>
      </c>
    </row>
    <row r="113" spans="1:2" x14ac:dyDescent="0.25">
      <c r="A113" t="str">
        <f ca="1"/>
        <v>SA3 JUN29</v>
      </c>
      <c r="B113" t="str">
        <f ca="1"/>
        <v>Y</v>
      </c>
    </row>
    <row r="114" spans="1:2" x14ac:dyDescent="0.25">
      <c r="A114" t="str">
        <f ca="1"/>
        <v>SA3 SEP29</v>
      </c>
      <c r="B114" t="str">
        <f ca="1"/>
        <v>Y</v>
      </c>
    </row>
    <row r="115" spans="1:2" x14ac:dyDescent="0.25">
      <c r="A115" t="str">
        <f ca="1"/>
        <v>SO3 DEC26</v>
      </c>
      <c r="B115" t="str">
        <f ca="1"/>
        <v>Y</v>
      </c>
    </row>
    <row r="116" spans="1:2" x14ac:dyDescent="0.25">
      <c r="A116" t="str">
        <f ca="1"/>
        <v>SO3 MAR27</v>
      </c>
      <c r="B116" t="str">
        <f ca="1"/>
        <v>Y</v>
      </c>
    </row>
    <row r="117" spans="1:2" x14ac:dyDescent="0.25">
      <c r="A117" t="str">
        <f ca="1"/>
        <v>SO3 JUN27</v>
      </c>
      <c r="B117" t="str">
        <f ca="1"/>
        <v>Y</v>
      </c>
    </row>
    <row r="118" spans="1:2" x14ac:dyDescent="0.25">
      <c r="A118" t="str">
        <f ca="1"/>
        <v>SO3 SEP27</v>
      </c>
      <c r="B118" t="str">
        <f ca="1"/>
        <v>Y</v>
      </c>
    </row>
    <row r="119" spans="1:2" x14ac:dyDescent="0.25">
      <c r="A119" t="str">
        <f ca="1"/>
        <v>SO3 DEC27</v>
      </c>
      <c r="B119" t="str">
        <f ca="1"/>
        <v>Y</v>
      </c>
    </row>
    <row r="120" spans="1:2" x14ac:dyDescent="0.25">
      <c r="A120" t="str">
        <f ca="1"/>
        <v>SO3 MAR28</v>
      </c>
      <c r="B120" t="str">
        <f ca="1"/>
        <v>Y</v>
      </c>
    </row>
    <row r="121" spans="1:2" x14ac:dyDescent="0.25">
      <c r="A121" t="str">
        <f ca="1"/>
        <v>SO3 JUN28</v>
      </c>
      <c r="B121" t="str">
        <f ca="1"/>
        <v>Y</v>
      </c>
    </row>
    <row r="122" spans="1:2" x14ac:dyDescent="0.25">
      <c r="A122" t="str">
        <f ca="1"/>
        <v>SO3 SEP28</v>
      </c>
      <c r="B122" t="str">
        <f ca="1"/>
        <v>Y</v>
      </c>
    </row>
    <row r="123" spans="1:2" x14ac:dyDescent="0.25">
      <c r="A123" t="str">
        <f ca="1"/>
        <v>SO3 DEC28</v>
      </c>
      <c r="B123" t="str">
        <f ca="1"/>
        <v>Y</v>
      </c>
    </row>
    <row r="124" spans="1:2" x14ac:dyDescent="0.25">
      <c r="A124" t="str">
        <f ca="1"/>
        <v>SO3 MAR29</v>
      </c>
      <c r="B124" t="str">
        <f ca="1"/>
        <v>Y</v>
      </c>
    </row>
    <row r="125" spans="1:2" x14ac:dyDescent="0.25">
      <c r="A125" t="str">
        <f ca="1"/>
        <v>SO3 JUN29</v>
      </c>
      <c r="B125" t="str">
        <f ca="1"/>
        <v>Y</v>
      </c>
    </row>
    <row r="126" spans="1:2" x14ac:dyDescent="0.25">
      <c r="A126" t="str">
        <f ca="1"/>
        <v>SO3 SEP29</v>
      </c>
      <c r="B126" t="str">
        <f ca="1"/>
        <v>Y</v>
      </c>
    </row>
    <row r="127" spans="1:2" x14ac:dyDescent="0.25">
      <c r="A127" t="str">
        <f ca="1"/>
        <v>SO3 DEC29</v>
      </c>
      <c r="B127" t="str">
        <f ca="1"/>
        <v>Y</v>
      </c>
    </row>
    <row r="128" spans="1:2" x14ac:dyDescent="0.25">
      <c r="A128" t="str">
        <f ca="1"/>
        <v>SO3 MAR30</v>
      </c>
      <c r="B128" t="str">
        <f ca="1"/>
        <v>Y</v>
      </c>
    </row>
    <row r="129" spans="1:2" x14ac:dyDescent="0.25">
      <c r="A129" t="str">
        <f ca="1"/>
        <v>SO3 JUN30</v>
      </c>
      <c r="B129" t="str">
        <f ca="1"/>
        <v>Y</v>
      </c>
    </row>
    <row r="130" spans="1:2" x14ac:dyDescent="0.25">
      <c r="A130" t="str">
        <f ca="1"/>
        <v>SO3 SEP30</v>
      </c>
      <c r="B130" t="str">
        <f ca="1"/>
        <v>Y</v>
      </c>
    </row>
    <row r="131" spans="1:2" x14ac:dyDescent="0.25">
      <c r="A131" t="str">
        <f ca="1"/>
        <v>SO3 DEC30</v>
      </c>
      <c r="B131" t="str">
        <f ca="1"/>
        <v>Y</v>
      </c>
    </row>
    <row r="132" spans="1:2" x14ac:dyDescent="0.25">
      <c r="A132" t="str">
        <f ca="1"/>
        <v>SO3 MAR31</v>
      </c>
      <c r="B132" t="str">
        <f ca="1"/>
        <v>Y</v>
      </c>
    </row>
    <row r="133" spans="1:2" x14ac:dyDescent="0.25">
      <c r="A133" t="str">
        <f ca="1"/>
        <v>SO3 JUN31</v>
      </c>
      <c r="B133" t="str">
        <f ca="1"/>
        <v>Y</v>
      </c>
    </row>
    <row r="134" spans="1:2" x14ac:dyDescent="0.25">
      <c r="A134" t="str">
        <f ca="1"/>
        <v>SO3 SEP31</v>
      </c>
      <c r="B134" t="str">
        <f ca="1"/>
        <v>Y</v>
      </c>
    </row>
    <row r="135" spans="1:2" x14ac:dyDescent="0.25">
      <c r="A135" t="str">
        <f ca="1"/>
        <v>SO3 DEC31</v>
      </c>
      <c r="B135" t="str">
        <f ca="1"/>
        <v>Y</v>
      </c>
    </row>
    <row r="136" spans="1:2" x14ac:dyDescent="0.25">
      <c r="A136" t="str">
        <f ca="1"/>
        <v>SO3 MAR32</v>
      </c>
      <c r="B136" t="str">
        <f ca="1"/>
        <v>Y</v>
      </c>
    </row>
    <row r="137" spans="1:2" x14ac:dyDescent="0.25">
      <c r="A137" t="str">
        <f ca="1"/>
        <v>SO3 JUN32</v>
      </c>
      <c r="B137" t="str">
        <f ca="1"/>
        <v>Y</v>
      </c>
    </row>
    <row r="138" spans="1:2" x14ac:dyDescent="0.25">
      <c r="A138" t="str">
        <f ca="1"/>
        <v>SO3 SEP32</v>
      </c>
      <c r="B138" t="str">
        <f ca="1"/>
        <v>Y</v>
      </c>
    </row>
    <row r="139" spans="1:2" x14ac:dyDescent="0.25">
      <c r="A139" t="str">
        <f ca="1"/>
        <v>FBTP DEC26</v>
      </c>
      <c r="B139" t="str">
        <f ca="1"/>
        <v>Y</v>
      </c>
    </row>
    <row r="140" spans="1:2" x14ac:dyDescent="0.25">
      <c r="A140" t="str">
        <f ca="1"/>
        <v>FBTP MAR27</v>
      </c>
      <c r="B140" t="str">
        <f ca="1"/>
        <v>Y</v>
      </c>
    </row>
    <row r="141" spans="1:2" x14ac:dyDescent="0.25">
      <c r="A141" t="str">
        <f ca="1"/>
        <v>FBTS DEC26</v>
      </c>
      <c r="B141" t="str">
        <f ca="1"/>
        <v>Y</v>
      </c>
    </row>
    <row r="142" spans="1:2" x14ac:dyDescent="0.25">
      <c r="A142" t="str">
        <f ca="1"/>
        <v>FBTS MAR27</v>
      </c>
      <c r="B142" t="str">
        <f ca="1"/>
        <v>Y</v>
      </c>
    </row>
    <row r="143" spans="1:2" x14ac:dyDescent="0.25">
      <c r="A143" t="str">
        <f ca="1"/>
        <v>FGBL DEC26</v>
      </c>
      <c r="B143" t="str">
        <f ca="1"/>
        <v>Y</v>
      </c>
    </row>
    <row r="144" spans="1:2" x14ac:dyDescent="0.25">
      <c r="A144" t="str">
        <f ca="1"/>
        <v>FGBL MAR27</v>
      </c>
      <c r="B144" t="str">
        <f ca="1"/>
        <v>Y</v>
      </c>
    </row>
    <row r="145" spans="1:2" x14ac:dyDescent="0.25">
      <c r="A145" t="str">
        <f ca="1"/>
        <v>FGBM DEC26</v>
      </c>
      <c r="B145" t="str">
        <f ca="1"/>
        <v>Y</v>
      </c>
    </row>
    <row r="146" spans="1:2" x14ac:dyDescent="0.25">
      <c r="A146" t="str">
        <f ca="1"/>
        <v>FGBM MAR27</v>
      </c>
      <c r="B146" t="str">
        <f ca="1"/>
        <v>Y</v>
      </c>
    </row>
    <row r="147" spans="1:2" x14ac:dyDescent="0.25">
      <c r="A147" t="str">
        <f ca="1"/>
        <v>FGBS DEC26</v>
      </c>
      <c r="B147" t="str">
        <f ca="1"/>
        <v>Y</v>
      </c>
    </row>
    <row r="148" spans="1:2" x14ac:dyDescent="0.25">
      <c r="A148" t="str">
        <f ca="1"/>
        <v>FGBS MAR27</v>
      </c>
      <c r="B148" t="str">
        <f ca="1"/>
        <v>Y</v>
      </c>
    </row>
    <row r="149" spans="1:2" x14ac:dyDescent="0.25">
      <c r="A149" t="str">
        <f ca="1"/>
        <v>FGBX DEC26</v>
      </c>
      <c r="B149" t="str">
        <f ca="1"/>
        <v>Y</v>
      </c>
    </row>
    <row r="150" spans="1:2" x14ac:dyDescent="0.25">
      <c r="A150" t="str">
        <f ca="1"/>
        <v>FGBX MAR27</v>
      </c>
      <c r="B150" t="str">
        <f ca="1"/>
        <v>Y</v>
      </c>
    </row>
    <row r="151" spans="1:2" x14ac:dyDescent="0.25">
      <c r="A151" t="str">
        <f ca="1"/>
        <v>FOAT DEC26</v>
      </c>
      <c r="B151" t="str">
        <f ca="1"/>
        <v>Y</v>
      </c>
    </row>
    <row r="152" spans="1:2" x14ac:dyDescent="0.25">
      <c r="A152" t="str">
        <f ca="1"/>
        <v>FOAT MAR27</v>
      </c>
      <c r="B152" t="str">
        <f ca="1"/>
        <v>Y</v>
      </c>
    </row>
    <row r="153" spans="1:2" x14ac:dyDescent="0.25">
      <c r="A153" t="str">
        <f ca="1"/>
        <v>FVS OCT26</v>
      </c>
      <c r="B153" t="str">
        <f ca="1"/>
        <v>Y</v>
      </c>
    </row>
    <row r="154" spans="1:2" x14ac:dyDescent="0.25">
      <c r="A154" t="str">
        <f ca="1"/>
        <v>FVS NOV26</v>
      </c>
      <c r="B154" t="str">
        <f ca="1"/>
        <v>Y</v>
      </c>
    </row>
    <row r="155" spans="1:2" x14ac:dyDescent="0.25">
      <c r="A155" t="str">
        <f ca="1"/>
        <v>FVS DEC26</v>
      </c>
      <c r="B155" t="str">
        <f ca="1"/>
        <v>Y</v>
      </c>
    </row>
    <row r="156" spans="1:2" x14ac:dyDescent="0.25">
      <c r="A156" t="str">
        <f ca="1"/>
        <v>FVS JAN27</v>
      </c>
      <c r="B156" t="str">
        <f ca="1"/>
        <v>Y</v>
      </c>
    </row>
    <row r="157" spans="1:2" x14ac:dyDescent="0.25">
      <c r="A157" t="str">
        <f ca="1"/>
        <v>FVS FEB27</v>
      </c>
      <c r="B157" t="str">
        <f ca="1"/>
        <v>Y</v>
      </c>
    </row>
    <row r="158" spans="1:2" x14ac:dyDescent="0.25">
      <c r="A158" t="str">
        <f ca="1"/>
        <v>FVS MAR27</v>
      </c>
      <c r="B158" t="str">
        <f ca="1"/>
        <v>Y</v>
      </c>
    </row>
    <row r="159" spans="1:2" x14ac:dyDescent="0.25">
      <c r="A159" t="str">
        <f ca="1"/>
        <v>SR1 OCT26</v>
      </c>
      <c r="B159" t="str">
        <f ca="1"/>
        <v>Y</v>
      </c>
    </row>
    <row r="160" spans="1:2" x14ac:dyDescent="0.25">
      <c r="A160" t="str">
        <f ca="1"/>
        <v>SR1 NOV26</v>
      </c>
      <c r="B160" t="str">
        <f ca="1"/>
        <v>Y</v>
      </c>
    </row>
    <row r="161" spans="1:2" x14ac:dyDescent="0.25">
      <c r="A161" t="str">
        <f ca="1"/>
        <v>SR1 DEC26</v>
      </c>
      <c r="B161" t="str">
        <f ca="1"/>
        <v>Y</v>
      </c>
    </row>
    <row r="162" spans="1:2" x14ac:dyDescent="0.25">
      <c r="A162" t="str">
        <f ca="1"/>
        <v>SR1 JAN27</v>
      </c>
      <c r="B162" t="str">
        <f ca="1"/>
        <v>Y</v>
      </c>
    </row>
    <row r="163" spans="1:2" x14ac:dyDescent="0.25">
      <c r="A163" t="str">
        <f ca="1"/>
        <v>SR1 FEB27</v>
      </c>
      <c r="B163" t="str">
        <f ca="1"/>
        <v>Y</v>
      </c>
    </row>
    <row r="164" spans="1:2" x14ac:dyDescent="0.25">
      <c r="A164" t="str">
        <f ca="1"/>
        <v>SR1 MAR27</v>
      </c>
      <c r="B164" t="str">
        <f ca="1"/>
        <v>Y</v>
      </c>
    </row>
    <row r="165" spans="1:2" x14ac:dyDescent="0.25">
      <c r="A165" t="str">
        <f ca="1"/>
        <v>SR1 APR27</v>
      </c>
      <c r="B165" t="str">
        <f ca="1"/>
        <v>Y</v>
      </c>
    </row>
    <row r="166" spans="1:2" x14ac:dyDescent="0.25">
      <c r="A166" t="str">
        <f ca="1"/>
        <v>SR1 MAY27</v>
      </c>
      <c r="B166" t="str">
        <f ca="1"/>
        <v>Y</v>
      </c>
    </row>
    <row r="167" spans="1:2" x14ac:dyDescent="0.25">
      <c r="A167" t="str">
        <f ca="1"/>
        <v>SR1 JUN27</v>
      </c>
      <c r="B167" t="str">
        <f ca="1"/>
        <v>Y</v>
      </c>
    </row>
    <row r="168" spans="1:2" x14ac:dyDescent="0.25">
      <c r="A168" t="str">
        <f ca="1"/>
        <v>SR1 JUL27</v>
      </c>
      <c r="B168" t="str">
        <f ca="1"/>
        <v>Y</v>
      </c>
    </row>
    <row r="169" spans="1:2" x14ac:dyDescent="0.25">
      <c r="A169" t="str">
        <f ca="1"/>
        <v>SR1 AUG27</v>
      </c>
      <c r="B169" t="str">
        <f ca="1"/>
        <v>Y</v>
      </c>
    </row>
    <row r="170" spans="1:2" x14ac:dyDescent="0.25">
      <c r="A170" t="str">
        <f ca="1"/>
        <v>SR1 SEP27</v>
      </c>
      <c r="B170" t="str">
        <f ca="1"/>
        <v>Y</v>
      </c>
    </row>
    <row r="171" spans="1:2" x14ac:dyDescent="0.25">
      <c r="A171" t="str">
        <f ca="1"/>
        <v>SR1 OCT27</v>
      </c>
      <c r="B171" t="str">
        <f ca="1"/>
        <v>Y</v>
      </c>
    </row>
    <row r="172" spans="1:2" x14ac:dyDescent="0.25">
      <c r="A172" t="str">
        <f ca="1"/>
        <v>SR1 NOV27</v>
      </c>
      <c r="B172" t="str">
        <f ca="1"/>
        <v>Y</v>
      </c>
    </row>
    <row r="173" spans="1:2" x14ac:dyDescent="0.25">
      <c r="A173" t="str">
        <f ca="1"/>
        <v>SR1 DEC27</v>
      </c>
      <c r="B173" t="str">
        <f ca="1"/>
        <v>Y</v>
      </c>
    </row>
    <row r="174" spans="1:2" x14ac:dyDescent="0.25">
      <c r="A174" t="str">
        <f ca="1"/>
        <v>SR1 JAN28</v>
      </c>
      <c r="B174" t="str">
        <f ca="1"/>
        <v>Y</v>
      </c>
    </row>
    <row r="175" spans="1:2" x14ac:dyDescent="0.25">
      <c r="A175" t="str">
        <f ca="1"/>
        <v>SR1 FEB28</v>
      </c>
      <c r="B175" t="str">
        <f ca="1"/>
        <v>Y</v>
      </c>
    </row>
    <row r="176" spans="1:2" x14ac:dyDescent="0.25">
      <c r="A176" t="str">
        <f ca="1"/>
        <v>SR1 MAR28</v>
      </c>
      <c r="B176" t="str">
        <f ca="1"/>
        <v>Y</v>
      </c>
    </row>
    <row r="177" spans="1:2" x14ac:dyDescent="0.25">
      <c r="A177" t="str">
        <f ca="1"/>
        <v>SR1 Oct26 - ZQ Oct26 Inter-Product</v>
      </c>
      <c r="B177" t="str">
        <f ca="1"/>
        <v>Y</v>
      </c>
    </row>
    <row r="178" spans="1:2" x14ac:dyDescent="0.25">
      <c r="A178" t="str">
        <f ca="1"/>
        <v>SR1 Nov26 - ZQ Nov26 Inter-Product</v>
      </c>
      <c r="B178" t="str">
        <f ca="1"/>
        <v>Y</v>
      </c>
    </row>
    <row r="179" spans="1:2" x14ac:dyDescent="0.25">
      <c r="A179" t="str">
        <f ca="1"/>
        <v>SR1 Dec26 - ZQ Dec26 Inter-Product</v>
      </c>
      <c r="B179" t="str">
        <f ca="1"/>
        <v>Y</v>
      </c>
    </row>
    <row r="180" spans="1:2" x14ac:dyDescent="0.25">
      <c r="A180" t="str">
        <f ca="1"/>
        <v>SR1 Jan27 - ZQ Jan27 Inter-Product</v>
      </c>
      <c r="B180" t="str">
        <f ca="1"/>
        <v>Y</v>
      </c>
    </row>
    <row r="181" spans="1:2" x14ac:dyDescent="0.25">
      <c r="A181" t="str">
        <f ca="1"/>
        <v>SR1 Feb27 - ZQ Feb27 Inter-Product</v>
      </c>
      <c r="B181" t="str">
        <f ca="1"/>
        <v>Y</v>
      </c>
    </row>
    <row r="182" spans="1:2" x14ac:dyDescent="0.25">
      <c r="A182" t="str">
        <f ca="1"/>
        <v>SR1 Mar27 - ZQ Mar27 Inter-Product</v>
      </c>
      <c r="B182" t="str">
        <f ca="1"/>
        <v>Y</v>
      </c>
    </row>
    <row r="183" spans="1:2" x14ac:dyDescent="0.25">
      <c r="A183" t="str">
        <f ca="1"/>
        <v>SR1 Apr27 - ZQ Apr27 Inter-Product</v>
      </c>
      <c r="B183" t="str">
        <f ca="1"/>
        <v>Y</v>
      </c>
    </row>
    <row r="184" spans="1:2" x14ac:dyDescent="0.25">
      <c r="A184" t="str">
        <f ca="1"/>
        <v>SR1 May27 - ZQ May27 Inter-Product</v>
      </c>
      <c r="B184" t="str">
        <f ca="1"/>
        <v>Y</v>
      </c>
    </row>
    <row r="185" spans="1:2" x14ac:dyDescent="0.25">
      <c r="A185" t="str">
        <f ca="1"/>
        <v>SR1 Jun27 - ZQ Jun27 Inter-Product</v>
      </c>
      <c r="B185" t="str">
        <f ca="1"/>
        <v>Y</v>
      </c>
    </row>
    <row r="186" spans="1:2" x14ac:dyDescent="0.25">
      <c r="A186" t="str">
        <f ca="1"/>
        <v>SR1 Jul27 - ZQ Jul27 Inter-Product</v>
      </c>
      <c r="B186" t="str">
        <f ca="1"/>
        <v>Y</v>
      </c>
    </row>
    <row r="187" spans="1:2" x14ac:dyDescent="0.25">
      <c r="A187" t="str">
        <f ca="1"/>
        <v>SR1 Aug27 - ZQ Aug27 Inter-Product</v>
      </c>
      <c r="B187" t="str">
        <f ca="1"/>
        <v>Y</v>
      </c>
    </row>
    <row r="188" spans="1:2" x14ac:dyDescent="0.25">
      <c r="A188" t="str">
        <f ca="1"/>
        <v>SR1 Sep27 - ZQ Sep27 Inter-Product</v>
      </c>
      <c r="B188" t="str">
        <f ca="1"/>
        <v>Y</v>
      </c>
    </row>
    <row r="189" spans="1:2" x14ac:dyDescent="0.25">
      <c r="A189" t="str">
        <f ca="1"/>
        <v>SR1 Oct27 - ZQ Oct27 Inter-Product</v>
      </c>
      <c r="B189" t="str">
        <f ca="1"/>
        <v>Y</v>
      </c>
    </row>
    <row r="190" spans="1:2" x14ac:dyDescent="0.25">
      <c r="A190" t="str">
        <f ca="1"/>
        <v>SR1 Nov27 - ZQ Nov27 Inter-Product</v>
      </c>
      <c r="B190" t="str">
        <f ca="1"/>
        <v>Y</v>
      </c>
    </row>
    <row r="191" spans="1:2" x14ac:dyDescent="0.25">
      <c r="A191" t="str">
        <f ca="1"/>
        <v>SR1 Dec27 - ZQ Dec27 Inter-Product</v>
      </c>
      <c r="B191" t="str">
        <f ca="1"/>
        <v>Y</v>
      </c>
    </row>
    <row r="192" spans="1:2" x14ac:dyDescent="0.25">
      <c r="A192" t="str">
        <f ca="1"/>
        <v>SR1 Jan28 - ZQ Jan28 Inter-Product</v>
      </c>
      <c r="B192" t="str">
        <f ca="1"/>
        <v>Y</v>
      </c>
    </row>
    <row r="193" spans="1:2" x14ac:dyDescent="0.25">
      <c r="A193" t="str">
        <f ca="1"/>
        <v>SR1 Feb28 - ZQ Feb28 Inter-Product</v>
      </c>
      <c r="B193" t="str">
        <f ca="1"/>
        <v>Y</v>
      </c>
    </row>
    <row r="194" spans="1:2" x14ac:dyDescent="0.25">
      <c r="A194" t="str">
        <f ca="1"/>
        <v>SR1 Mar28 - ZQ Mar28 Inter-Product</v>
      </c>
      <c r="B194" t="str">
        <f ca="1"/>
        <v>Y</v>
      </c>
    </row>
    <row r="195" spans="1:2" x14ac:dyDescent="0.25">
      <c r="A195" t="str">
        <f ca="1"/>
        <v>SR3 OCT26</v>
      </c>
      <c r="B195" t="str">
        <f ca="1"/>
        <v>Y</v>
      </c>
    </row>
    <row r="196" spans="1:2" x14ac:dyDescent="0.25">
      <c r="A196" t="str">
        <f ca="1"/>
        <v>SR3 NOV26</v>
      </c>
      <c r="B196" t="str">
        <f ca="1"/>
        <v>Y</v>
      </c>
    </row>
    <row r="197" spans="1:2" x14ac:dyDescent="0.25">
      <c r="A197" t="str">
        <f ca="1"/>
        <v>SR3 DEC26</v>
      </c>
      <c r="B197" t="str">
        <f ca="1"/>
        <v>Y</v>
      </c>
    </row>
    <row r="198" spans="1:2" x14ac:dyDescent="0.25">
      <c r="A198" t="str">
        <f ca="1"/>
        <v>SR3 JAN27</v>
      </c>
      <c r="B198" t="str">
        <f ca="1"/>
        <v>Y</v>
      </c>
    </row>
    <row r="199" spans="1:2" x14ac:dyDescent="0.25">
      <c r="A199" t="str">
        <f ca="1"/>
        <v>SR3 FEB27</v>
      </c>
      <c r="B199" t="str">
        <f ca="1"/>
        <v>Y</v>
      </c>
    </row>
    <row r="200" spans="1:2" x14ac:dyDescent="0.25">
      <c r="A200" t="str">
        <f ca="1"/>
        <v>SR3 MAR27</v>
      </c>
      <c r="B200" t="str">
        <f ca="1"/>
        <v>Y</v>
      </c>
    </row>
    <row r="201" spans="1:2" x14ac:dyDescent="0.25">
      <c r="A201" t="str">
        <f ca="1"/>
        <v>SR3 JUN27</v>
      </c>
      <c r="B201" t="str">
        <f ca="1"/>
        <v>Y</v>
      </c>
    </row>
    <row r="202" spans="1:2" x14ac:dyDescent="0.25">
      <c r="A202" t="str">
        <f ca="1"/>
        <v>SR3 SEP27</v>
      </c>
      <c r="B202" t="str">
        <f ca="1"/>
        <v>Y</v>
      </c>
    </row>
    <row r="203" spans="1:2" x14ac:dyDescent="0.25">
      <c r="A203" t="str">
        <f ca="1"/>
        <v>SR3 DEC27</v>
      </c>
      <c r="B203" t="str">
        <f ca="1"/>
        <v>Y</v>
      </c>
    </row>
    <row r="204" spans="1:2" x14ac:dyDescent="0.25">
      <c r="A204" t="str">
        <f ca="1"/>
        <v>SR3 MAR28</v>
      </c>
      <c r="B204" t="str">
        <f ca="1"/>
        <v>Y</v>
      </c>
    </row>
    <row r="205" spans="1:2" x14ac:dyDescent="0.25">
      <c r="A205" t="str">
        <f ca="1"/>
        <v>SR3 JUN28</v>
      </c>
      <c r="B205" t="str">
        <f ca="1"/>
        <v>Y</v>
      </c>
    </row>
    <row r="206" spans="1:2" x14ac:dyDescent="0.25">
      <c r="A206" t="str">
        <f ca="1"/>
        <v>SR3 SEP28</v>
      </c>
      <c r="B206" t="str">
        <f ca="1"/>
        <v>Y</v>
      </c>
    </row>
    <row r="207" spans="1:2" x14ac:dyDescent="0.25">
      <c r="A207" t="str">
        <f ca="1"/>
        <v>SR3 DEC28</v>
      </c>
      <c r="B207" t="str">
        <f ca="1"/>
        <v>Y</v>
      </c>
    </row>
    <row r="208" spans="1:2" x14ac:dyDescent="0.25">
      <c r="A208" t="str">
        <f ca="1"/>
        <v>SR3 MAR29</v>
      </c>
      <c r="B208" t="str">
        <f ca="1"/>
        <v>Y</v>
      </c>
    </row>
    <row r="209" spans="1:2" x14ac:dyDescent="0.25">
      <c r="A209" t="str">
        <f ca="1"/>
        <v>SR3 JUN29</v>
      </c>
      <c r="B209" t="str">
        <f ca="1"/>
        <v>Y</v>
      </c>
    </row>
    <row r="210" spans="1:2" x14ac:dyDescent="0.25">
      <c r="A210" t="str">
        <f ca="1"/>
        <v>SR3 SEP29</v>
      </c>
      <c r="B210" t="str">
        <f ca="1"/>
        <v>Y</v>
      </c>
    </row>
    <row r="211" spans="1:2" x14ac:dyDescent="0.25">
      <c r="A211" t="str">
        <f ca="1"/>
        <v>SR3 DEC29</v>
      </c>
      <c r="B211" t="str">
        <f ca="1"/>
        <v>Y</v>
      </c>
    </row>
    <row r="212" spans="1:2" x14ac:dyDescent="0.25">
      <c r="A212" t="str">
        <f ca="1"/>
        <v>SR3 MAR30</v>
      </c>
      <c r="B212" t="str">
        <f ca="1"/>
        <v>Y</v>
      </c>
    </row>
    <row r="213" spans="1:2" x14ac:dyDescent="0.25">
      <c r="A213" t="str">
        <f ca="1"/>
        <v>SR3 JUN30</v>
      </c>
      <c r="B213" t="str">
        <f ca="1"/>
        <v>Y</v>
      </c>
    </row>
    <row r="214" spans="1:2" x14ac:dyDescent="0.25">
      <c r="A214" t="str">
        <f ca="1"/>
        <v>SR3 SEP30</v>
      </c>
      <c r="B214" t="str">
        <f ca="1"/>
        <v>Y</v>
      </c>
    </row>
    <row r="215" spans="1:2" x14ac:dyDescent="0.25">
      <c r="A215" t="str">
        <f ca="1"/>
        <v>SR3 DEC30</v>
      </c>
      <c r="B215" t="str">
        <f ca="1"/>
        <v>Y</v>
      </c>
    </row>
    <row r="216" spans="1:2" x14ac:dyDescent="0.25">
      <c r="A216" t="str">
        <f ca="1"/>
        <v>SR3 MAR31</v>
      </c>
      <c r="B216" t="str">
        <f ca="1"/>
        <v>Y</v>
      </c>
    </row>
    <row r="217" spans="1:2" x14ac:dyDescent="0.25">
      <c r="A217" t="str">
        <f ca="1"/>
        <v>SR3 JUN31</v>
      </c>
      <c r="B217" t="str">
        <f ca="1"/>
        <v>Y</v>
      </c>
    </row>
    <row r="218" spans="1:2" x14ac:dyDescent="0.25">
      <c r="A218" t="str">
        <f ca="1"/>
        <v>SR3 SEP31</v>
      </c>
      <c r="B218" t="str">
        <f ca="1"/>
        <v>Y</v>
      </c>
    </row>
    <row r="219" spans="1:2" x14ac:dyDescent="0.25">
      <c r="A219" t="str">
        <f ca="1"/>
        <v>SR3 DEC31</v>
      </c>
      <c r="B219" t="str">
        <f ca="1"/>
        <v>Y</v>
      </c>
    </row>
    <row r="220" spans="1:2" x14ac:dyDescent="0.25">
      <c r="A220" t="str">
        <f ca="1"/>
        <v>SR3 MAR32</v>
      </c>
      <c r="B220" t="str">
        <f ca="1"/>
        <v>Y</v>
      </c>
    </row>
    <row r="221" spans="1:2" x14ac:dyDescent="0.25">
      <c r="A221" t="str">
        <f ca="1"/>
        <v>SR3 JUN32</v>
      </c>
      <c r="B221" t="str">
        <f ca="1"/>
        <v>Y</v>
      </c>
    </row>
    <row r="222" spans="1:2" x14ac:dyDescent="0.25">
      <c r="A222" t="str">
        <f ca="1"/>
        <v>SR3 SEP32</v>
      </c>
      <c r="B222" t="str">
        <f ca="1"/>
        <v>Y</v>
      </c>
    </row>
    <row r="223" spans="1:2" x14ac:dyDescent="0.25">
      <c r="A223" t="str">
        <f ca="1"/>
        <v>TN DEC26</v>
      </c>
      <c r="B223" t="str">
        <f ca="1"/>
        <v>Y</v>
      </c>
    </row>
    <row r="224" spans="1:2" x14ac:dyDescent="0.25">
      <c r="A224" t="str">
        <f ca="1"/>
        <v>TN MAR27</v>
      </c>
      <c r="B224" t="str">
        <f ca="1"/>
        <v>Y</v>
      </c>
    </row>
    <row r="225" spans="1:2" x14ac:dyDescent="0.25">
      <c r="A225" t="str">
        <f ca="1"/>
        <v>TWE DEC26</v>
      </c>
      <c r="B225" t="str">
        <f ca="1"/>
        <v>Y</v>
      </c>
    </row>
    <row r="226" spans="1:2" x14ac:dyDescent="0.25">
      <c r="A226" t="str">
        <f ca="1"/>
        <v>TWE MAR27</v>
      </c>
      <c r="B226" t="str">
        <f ca="1"/>
        <v>Y</v>
      </c>
    </row>
    <row r="227" spans="1:2" x14ac:dyDescent="0.25">
      <c r="A227" t="str">
        <f ca="1"/>
        <v>UB DEC26</v>
      </c>
      <c r="B227" t="str">
        <f ca="1"/>
        <v>Y</v>
      </c>
    </row>
    <row r="228" spans="1:2" x14ac:dyDescent="0.25">
      <c r="A228" t="str">
        <f ca="1"/>
        <v>UB MAR27</v>
      </c>
      <c r="B228" t="str">
        <f ca="1"/>
        <v>Y</v>
      </c>
    </row>
    <row r="229" spans="1:2" x14ac:dyDescent="0.25">
      <c r="A229" t="str">
        <f ca="1"/>
        <v>US DEC26</v>
      </c>
      <c r="B229" t="str">
        <f ca="1"/>
        <v>Y</v>
      </c>
    </row>
    <row r="230" spans="1:2" x14ac:dyDescent="0.25">
      <c r="A230" t="str">
        <f ca="1"/>
        <v>US MAR27</v>
      </c>
      <c r="B230" t="str">
        <f ca="1"/>
        <v>Y</v>
      </c>
    </row>
    <row r="231" spans="1:2" x14ac:dyDescent="0.25">
      <c r="A231" t="str">
        <f ca="1"/>
        <v>Z3N DEC26</v>
      </c>
      <c r="B231" t="str">
        <f ca="1"/>
        <v>Y</v>
      </c>
    </row>
    <row r="232" spans="1:2" x14ac:dyDescent="0.25">
      <c r="A232" t="str">
        <f ca="1"/>
        <v>Z3N MAR27</v>
      </c>
      <c r="B232" t="str">
        <f ca="1"/>
        <v>Y</v>
      </c>
    </row>
    <row r="233" spans="1:2" x14ac:dyDescent="0.25">
      <c r="A233" t="str">
        <f ca="1"/>
        <v>ZF DEC26</v>
      </c>
      <c r="B233" t="str">
        <f ca="1"/>
        <v>Y</v>
      </c>
    </row>
    <row r="234" spans="1:2" x14ac:dyDescent="0.25">
      <c r="A234" t="str">
        <f ca="1"/>
        <v>ZF MAR27</v>
      </c>
      <c r="B234" t="str">
        <f ca="1"/>
        <v>Y</v>
      </c>
    </row>
    <row r="235" spans="1:2" x14ac:dyDescent="0.25">
      <c r="A235" t="str">
        <f ca="1"/>
        <v>ZN DEC26</v>
      </c>
      <c r="B235" t="str">
        <f ca="1"/>
        <v>Y</v>
      </c>
    </row>
    <row r="236" spans="1:2" x14ac:dyDescent="0.25">
      <c r="A236" t="str">
        <f ca="1"/>
        <v>ZN MAR27</v>
      </c>
      <c r="B236" t="str">
        <f ca="1"/>
        <v>Y</v>
      </c>
    </row>
    <row r="237" spans="1:2" x14ac:dyDescent="0.25">
      <c r="A237" t="str">
        <f ca="1"/>
        <v>ZQ DEC26</v>
      </c>
      <c r="B237" t="str">
        <f ca="1"/>
        <v>Y</v>
      </c>
    </row>
    <row r="238" spans="1:2" x14ac:dyDescent="0.25">
      <c r="A238" t="str">
        <f ca="1"/>
        <v>ZQ MAR27</v>
      </c>
      <c r="B238" t="str">
        <f ca="1"/>
        <v>Y</v>
      </c>
    </row>
    <row r="239" spans="1:2" x14ac:dyDescent="0.25">
      <c r="A239" t="str">
        <f ca="1"/>
        <v>ZT DEC26</v>
      </c>
      <c r="B239" t="str">
        <f ca="1"/>
        <v>Y</v>
      </c>
    </row>
    <row r="240" spans="1:2" x14ac:dyDescent="0.25">
      <c r="A240" t="str">
        <f ca="1"/>
        <v>ZT MAR27</v>
      </c>
      <c r="B240" t="str">
        <f ca="1"/>
        <v>Y</v>
      </c>
    </row>
    <row r="241" spans="1:2" x14ac:dyDescent="0.25">
      <c r="A241" t="str">
        <f ca="1"/>
        <v>VX DEC26</v>
      </c>
      <c r="B241" t="str">
        <f ca="1"/>
        <v>Y</v>
      </c>
    </row>
    <row r="242" spans="1:2" x14ac:dyDescent="0.25">
      <c r="A242" t="str">
        <f ca="1"/>
        <v>VX MAR27</v>
      </c>
      <c r="B242" t="str">
        <f ca="1"/>
        <v>Y</v>
      </c>
    </row>
    <row r="243" spans="1:2" x14ac:dyDescent="0.25">
      <c r="A243" t="str">
        <f ca="1"/>
        <v>IR DEC26</v>
      </c>
      <c r="B243" t="str">
        <f ca="1"/>
        <v>Y</v>
      </c>
    </row>
    <row r="244" spans="1:2" x14ac:dyDescent="0.25">
      <c r="A244" t="str">
        <f ca="1"/>
        <v>IR MAR27</v>
      </c>
      <c r="B244" t="str">
        <f ca="1"/>
        <v>Y</v>
      </c>
    </row>
    <row r="245" spans="1:2" x14ac:dyDescent="0.25">
      <c r="A245" t="str">
        <f ca="1"/>
        <v>IR JUN27</v>
      </c>
      <c r="B245" t="str">
        <f ca="1"/>
        <v>Y</v>
      </c>
    </row>
    <row r="246" spans="1:2" x14ac:dyDescent="0.25">
      <c r="A246" t="str">
        <f ca="1"/>
        <v>IR SEP27</v>
      </c>
      <c r="B246" t="str">
        <f ca="1"/>
        <v>Y</v>
      </c>
    </row>
    <row r="247" spans="1:2" x14ac:dyDescent="0.25">
      <c r="A247" t="str">
        <f ca="1"/>
        <v>IR DEC27</v>
      </c>
      <c r="B247" t="str">
        <f ca="1"/>
        <v>Y</v>
      </c>
    </row>
    <row r="248" spans="1:2" x14ac:dyDescent="0.25">
      <c r="A248" t="str">
        <f ca="1"/>
        <v>IR MAR28</v>
      </c>
      <c r="B248" t="str">
        <f ca="1"/>
        <v>Y</v>
      </c>
    </row>
    <row r="249" spans="1:2" x14ac:dyDescent="0.25">
      <c r="A249" t="str">
        <f ca="1"/>
        <v>IR JUN28</v>
      </c>
      <c r="B249" t="str">
        <f ca="1"/>
        <v>Y</v>
      </c>
    </row>
    <row r="250" spans="1:2" x14ac:dyDescent="0.25">
      <c r="A250" t="str">
        <f ca="1"/>
        <v>IR SEP28</v>
      </c>
      <c r="B250" t="str">
        <f ca="1"/>
        <v>Y</v>
      </c>
    </row>
    <row r="251" spans="1:2" x14ac:dyDescent="0.25">
      <c r="A251" t="str">
        <f ca="1"/>
        <v>IR DEC28</v>
      </c>
      <c r="B251" t="str">
        <f ca="1"/>
        <v>Y</v>
      </c>
    </row>
    <row r="252" spans="1:2" x14ac:dyDescent="0.25">
      <c r="A252" t="str">
        <f ca="1"/>
        <v>IR MAR29</v>
      </c>
      <c r="B252" t="str">
        <f ca="1"/>
        <v>Y</v>
      </c>
    </row>
    <row r="253" spans="1:2" x14ac:dyDescent="0.25">
      <c r="A253" t="str">
        <f ca="1"/>
        <v>IR JUN29</v>
      </c>
      <c r="B253" t="str">
        <f ca="1"/>
        <v>Y</v>
      </c>
    </row>
    <row r="254" spans="1:2" x14ac:dyDescent="0.25">
      <c r="A254" t="str">
        <f ca="1"/>
        <v>IR SEP29</v>
      </c>
      <c r="B254" t="str">
        <f ca="1"/>
        <v>Y</v>
      </c>
    </row>
    <row r="255" spans="1:2" x14ac:dyDescent="0.25">
      <c r="A255" t="str">
        <f ca="1"/>
        <v>IR DEC29</v>
      </c>
      <c r="B255" t="str">
        <f ca="1"/>
        <v>Y</v>
      </c>
    </row>
    <row r="256" spans="1:2" x14ac:dyDescent="0.25">
      <c r="A256" t="str">
        <f ca="1"/>
        <v>IR MAR30</v>
      </c>
      <c r="B256" t="str">
        <f ca="1"/>
        <v>Y</v>
      </c>
    </row>
    <row r="257" spans="1:2" x14ac:dyDescent="0.25">
      <c r="A257" t="str">
        <f ca="1"/>
        <v>IR JUN30</v>
      </c>
      <c r="B257" t="str">
        <f ca="1"/>
        <v>Y</v>
      </c>
    </row>
    <row r="258" spans="1:2" x14ac:dyDescent="0.25">
      <c r="A258" t="str">
        <f ca="1"/>
        <v>IR SEP30</v>
      </c>
      <c r="B258" t="str">
        <f ca="1"/>
        <v>Y</v>
      </c>
    </row>
    <row r="259" spans="1:2" x14ac:dyDescent="0.25">
      <c r="A259" t="str">
        <f ca="1"/>
        <v>VT DEC26</v>
      </c>
      <c r="B259" t="str">
        <f ca="1"/>
        <v>N</v>
      </c>
    </row>
    <row r="260" spans="1:2" x14ac:dyDescent="0.25">
      <c r="A260" t="str">
        <f ca="1"/>
        <v>VT MAR27</v>
      </c>
      <c r="B260" t="str">
        <f ca="1"/>
        <v>N</v>
      </c>
    </row>
    <row r="261" spans="1:2" x14ac:dyDescent="0.25">
      <c r="A261" t="str">
        <f ca="1"/>
        <v>XT DEC26</v>
      </c>
      <c r="B261" t="str">
        <f ca="1"/>
        <v>Y</v>
      </c>
    </row>
    <row r="262" spans="1:2" x14ac:dyDescent="0.25">
      <c r="A262" t="str">
        <f ca="1"/>
        <v>XT MAR27</v>
      </c>
      <c r="B262" t="str">
        <f ca="1"/>
        <v>Y</v>
      </c>
    </row>
    <row r="263" spans="1:2" x14ac:dyDescent="0.25">
      <c r="A263" t="str">
        <f ca="1"/>
        <v>YT DEC26</v>
      </c>
      <c r="B263" t="str">
        <f ca="1"/>
        <v>Y</v>
      </c>
    </row>
    <row r="264" spans="1:2" x14ac:dyDescent="0.25">
      <c r="A264" t="str">
        <f ca="1"/>
        <v>YT MAR27</v>
      </c>
      <c r="B264" t="str">
        <f ca="1"/>
        <v>Y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1D139-744A-49C1-AD37-09116BF80352}">
  <sheetPr codeName="Sheet5"/>
  <dimension ref="A1:G29"/>
  <sheetViews>
    <sheetView workbookViewId="0">
      <selection activeCell="A39" sqref="A39"/>
    </sheetView>
  </sheetViews>
  <sheetFormatPr defaultRowHeight="15" x14ac:dyDescent="0.25"/>
  <cols>
    <col min="1" max="1" width="144.7109375" customWidth="1"/>
  </cols>
  <sheetData>
    <row r="1" spans="1:1" ht="18.75" x14ac:dyDescent="0.3">
      <c r="A1" s="3" t="s">
        <v>170</v>
      </c>
    </row>
    <row r="3" spans="1:1" x14ac:dyDescent="0.25">
      <c r="A3" s="21" t="s">
        <v>171</v>
      </c>
    </row>
    <row r="4" spans="1:1" x14ac:dyDescent="0.25">
      <c r="A4" s="22" t="s">
        <v>172</v>
      </c>
    </row>
    <row r="5" spans="1:1" x14ac:dyDescent="0.25">
      <c r="A5" s="22" t="s">
        <v>173</v>
      </c>
    </row>
    <row r="6" spans="1:1" x14ac:dyDescent="0.25">
      <c r="A6" s="22" t="s">
        <v>174</v>
      </c>
    </row>
    <row r="7" spans="1:1" x14ac:dyDescent="0.25">
      <c r="A7" s="22" t="s">
        <v>175</v>
      </c>
    </row>
    <row r="8" spans="1:1" x14ac:dyDescent="0.25">
      <c r="A8" s="22" t="s">
        <v>176</v>
      </c>
    </row>
    <row r="9" spans="1:1" x14ac:dyDescent="0.25">
      <c r="A9" s="22" t="s">
        <v>191</v>
      </c>
    </row>
    <row r="10" spans="1:1" x14ac:dyDescent="0.25">
      <c r="A10" s="22" t="s">
        <v>177</v>
      </c>
    </row>
    <row r="12" spans="1:1" x14ac:dyDescent="0.25">
      <c r="A12" s="21" t="s">
        <v>178</v>
      </c>
    </row>
    <row r="13" spans="1:1" x14ac:dyDescent="0.25">
      <c r="A13" t="s">
        <v>179</v>
      </c>
    </row>
    <row r="14" spans="1:1" x14ac:dyDescent="0.25">
      <c r="A14" t="s">
        <v>180</v>
      </c>
    </row>
    <row r="15" spans="1:1" x14ac:dyDescent="0.25">
      <c r="A15" t="s">
        <v>181</v>
      </c>
    </row>
    <row r="16" spans="1:1" x14ac:dyDescent="0.25">
      <c r="A16" t="s">
        <v>182</v>
      </c>
    </row>
    <row r="17" spans="1:7" x14ac:dyDescent="0.25">
      <c r="A17" t="s">
        <v>183</v>
      </c>
    </row>
    <row r="19" spans="1:7" x14ac:dyDescent="0.25">
      <c r="A19" s="21" t="s">
        <v>184</v>
      </c>
    </row>
    <row r="20" spans="1:7" x14ac:dyDescent="0.25">
      <c r="A20" t="s">
        <v>185</v>
      </c>
    </row>
    <row r="21" spans="1:7" x14ac:dyDescent="0.25">
      <c r="A21" t="s">
        <v>186</v>
      </c>
    </row>
    <row r="22" spans="1:7" ht="16.5" x14ac:dyDescent="0.3">
      <c r="A22" t="s">
        <v>187</v>
      </c>
      <c r="G22" s="23"/>
    </row>
    <row r="23" spans="1:7" x14ac:dyDescent="0.25">
      <c r="A23" t="s">
        <v>188</v>
      </c>
    </row>
    <row r="24" spans="1:7" x14ac:dyDescent="0.25">
      <c r="A24" t="s">
        <v>189</v>
      </c>
    </row>
    <row r="25" spans="1:7" x14ac:dyDescent="0.25">
      <c r="A25" t="s">
        <v>190</v>
      </c>
    </row>
    <row r="27" spans="1:7" x14ac:dyDescent="0.25">
      <c r="A27" s="21" t="s">
        <v>196</v>
      </c>
    </row>
    <row r="28" spans="1:7" x14ac:dyDescent="0.25">
      <c r="A28" t="s">
        <v>198</v>
      </c>
    </row>
    <row r="29" spans="1:7" x14ac:dyDescent="0.25">
      <c r="A29" t="s">
        <v>197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CCF77-266C-4F28-BD13-CEF67E25367B}">
  <dimension ref="A1:A198"/>
  <sheetViews>
    <sheetView tabSelected="1" topLeftCell="A160" workbookViewId="0">
      <selection activeCell="J191" sqref="J191"/>
    </sheetView>
  </sheetViews>
  <sheetFormatPr defaultRowHeight="15" x14ac:dyDescent="0.25"/>
  <sheetData>
    <row r="1" spans="1:1" x14ac:dyDescent="0.25">
      <c r="A1" t="s">
        <v>201</v>
      </c>
    </row>
    <row r="3" spans="1:1" x14ac:dyDescent="0.25">
      <c r="A3" t="s">
        <v>202</v>
      </c>
    </row>
    <row r="4" spans="1:1" x14ac:dyDescent="0.25">
      <c r="A4" t="s">
        <v>203</v>
      </c>
    </row>
    <row r="6" spans="1:1" x14ac:dyDescent="0.25">
      <c r="A6" t="s">
        <v>204</v>
      </c>
    </row>
    <row r="8" spans="1:1" x14ac:dyDescent="0.25">
      <c r="A8" t="s">
        <v>205</v>
      </c>
    </row>
    <row r="9" spans="1:1" x14ac:dyDescent="0.25">
      <c r="A9" t="s">
        <v>206</v>
      </c>
    </row>
    <row r="10" spans="1:1" x14ac:dyDescent="0.25">
      <c r="A10" t="s">
        <v>207</v>
      </c>
    </row>
    <row r="11" spans="1:1" x14ac:dyDescent="0.25">
      <c r="A11" t="s">
        <v>208</v>
      </c>
    </row>
    <row r="13" spans="1:1" x14ac:dyDescent="0.25">
      <c r="A13" t="s">
        <v>209</v>
      </c>
    </row>
    <row r="15" spans="1:1" x14ac:dyDescent="0.25">
      <c r="A15" t="s">
        <v>210</v>
      </c>
    </row>
    <row r="17" spans="1:1" x14ac:dyDescent="0.25">
      <c r="A17" t="s">
        <v>211</v>
      </c>
    </row>
    <row r="18" spans="1:1" x14ac:dyDescent="0.25">
      <c r="A18" t="s">
        <v>212</v>
      </c>
    </row>
    <row r="19" spans="1:1" x14ac:dyDescent="0.25">
      <c r="A19" t="s">
        <v>213</v>
      </c>
    </row>
    <row r="20" spans="1:1" x14ac:dyDescent="0.25">
      <c r="A20" t="s">
        <v>214</v>
      </c>
    </row>
    <row r="21" spans="1:1" x14ac:dyDescent="0.25">
      <c r="A21" t="s">
        <v>215</v>
      </c>
    </row>
    <row r="22" spans="1:1" x14ac:dyDescent="0.25">
      <c r="A22" t="s">
        <v>216</v>
      </c>
    </row>
    <row r="23" spans="1:1" x14ac:dyDescent="0.25">
      <c r="A23" t="s">
        <v>217</v>
      </c>
    </row>
    <row r="24" spans="1:1" x14ac:dyDescent="0.25">
      <c r="A24" t="s">
        <v>218</v>
      </c>
    </row>
    <row r="25" spans="1:1" x14ac:dyDescent="0.25">
      <c r="A25" t="s">
        <v>219</v>
      </c>
    </row>
    <row r="27" spans="1:1" x14ac:dyDescent="0.25">
      <c r="A27" t="s">
        <v>220</v>
      </c>
    </row>
    <row r="29" spans="1:1" x14ac:dyDescent="0.25">
      <c r="A29" t="s">
        <v>209</v>
      </c>
    </row>
    <row r="31" spans="1:1" x14ac:dyDescent="0.25">
      <c r="A31" t="s">
        <v>221</v>
      </c>
    </row>
    <row r="33" spans="1:1" x14ac:dyDescent="0.25">
      <c r="A33" t="s">
        <v>222</v>
      </c>
    </row>
    <row r="34" spans="1:1" x14ac:dyDescent="0.25">
      <c r="A34" t="s">
        <v>212</v>
      </c>
    </row>
    <row r="35" spans="1:1" x14ac:dyDescent="0.25">
      <c r="A35" t="s">
        <v>223</v>
      </c>
    </row>
    <row r="36" spans="1:1" x14ac:dyDescent="0.25">
      <c r="A36" t="s">
        <v>224</v>
      </c>
    </row>
    <row r="37" spans="1:1" x14ac:dyDescent="0.25">
      <c r="A37" t="s">
        <v>225</v>
      </c>
    </row>
    <row r="38" spans="1:1" x14ac:dyDescent="0.25">
      <c r="A38" t="s">
        <v>226</v>
      </c>
    </row>
    <row r="39" spans="1:1" x14ac:dyDescent="0.25">
      <c r="A39" t="s">
        <v>227</v>
      </c>
    </row>
    <row r="41" spans="1:1" x14ac:dyDescent="0.25">
      <c r="A41" t="s">
        <v>228</v>
      </c>
    </row>
    <row r="43" spans="1:1" x14ac:dyDescent="0.25">
      <c r="A43" t="s">
        <v>229</v>
      </c>
    </row>
    <row r="44" spans="1:1" x14ac:dyDescent="0.25">
      <c r="A44" t="s">
        <v>212</v>
      </c>
    </row>
    <row r="45" spans="1:1" x14ac:dyDescent="0.25">
      <c r="A45" t="s">
        <v>230</v>
      </c>
    </row>
    <row r="46" spans="1:1" x14ac:dyDescent="0.25">
      <c r="A46" t="s">
        <v>231</v>
      </c>
    </row>
    <row r="47" spans="1:1" x14ac:dyDescent="0.25">
      <c r="A47" t="s">
        <v>232</v>
      </c>
    </row>
    <row r="48" spans="1:1" x14ac:dyDescent="0.25">
      <c r="A48" t="s">
        <v>233</v>
      </c>
    </row>
    <row r="49" spans="1:1" x14ac:dyDescent="0.25">
      <c r="A49" t="s">
        <v>234</v>
      </c>
    </row>
    <row r="50" spans="1:1" x14ac:dyDescent="0.25">
      <c r="A50" t="s">
        <v>235</v>
      </c>
    </row>
    <row r="52" spans="1:1" x14ac:dyDescent="0.25">
      <c r="A52" t="s">
        <v>236</v>
      </c>
    </row>
    <row r="53" spans="1:1" x14ac:dyDescent="0.25">
      <c r="A53" t="s">
        <v>237</v>
      </c>
    </row>
    <row r="54" spans="1:1" x14ac:dyDescent="0.25">
      <c r="A54" t="s">
        <v>238</v>
      </c>
    </row>
    <row r="56" spans="1:1" x14ac:dyDescent="0.25">
      <c r="A56" t="s">
        <v>239</v>
      </c>
    </row>
    <row r="58" spans="1:1" x14ac:dyDescent="0.25">
      <c r="A58" t="s">
        <v>240</v>
      </c>
    </row>
    <row r="59" spans="1:1" x14ac:dyDescent="0.25">
      <c r="A59" t="s">
        <v>241</v>
      </c>
    </row>
    <row r="60" spans="1:1" x14ac:dyDescent="0.25">
      <c r="A60" t="s">
        <v>242</v>
      </c>
    </row>
    <row r="61" spans="1:1" x14ac:dyDescent="0.25">
      <c r="A61" t="s">
        <v>243</v>
      </c>
    </row>
    <row r="62" spans="1:1" x14ac:dyDescent="0.25">
      <c r="A62" t="s">
        <v>244</v>
      </c>
    </row>
    <row r="63" spans="1:1" x14ac:dyDescent="0.25">
      <c r="A63" t="s">
        <v>245</v>
      </c>
    </row>
    <row r="64" spans="1:1" x14ac:dyDescent="0.25">
      <c r="A64" t="s">
        <v>246</v>
      </c>
    </row>
    <row r="65" spans="1:1" x14ac:dyDescent="0.25">
      <c r="A65" t="s">
        <v>247</v>
      </c>
    </row>
    <row r="66" spans="1:1" x14ac:dyDescent="0.25">
      <c r="A66" t="s">
        <v>248</v>
      </c>
    </row>
    <row r="67" spans="1:1" x14ac:dyDescent="0.25">
      <c r="A67" t="s">
        <v>249</v>
      </c>
    </row>
    <row r="68" spans="1:1" x14ac:dyDescent="0.25">
      <c r="A68" t="s">
        <v>250</v>
      </c>
    </row>
    <row r="70" spans="1:1" x14ac:dyDescent="0.25">
      <c r="A70" t="s">
        <v>251</v>
      </c>
    </row>
    <row r="72" spans="1:1" x14ac:dyDescent="0.25">
      <c r="A72" t="s">
        <v>252</v>
      </c>
    </row>
    <row r="74" spans="1:1" x14ac:dyDescent="0.25">
      <c r="A74" t="s">
        <v>253</v>
      </c>
    </row>
    <row r="75" spans="1:1" x14ac:dyDescent="0.25">
      <c r="A75" t="s">
        <v>241</v>
      </c>
    </row>
    <row r="76" spans="1:1" x14ac:dyDescent="0.25">
      <c r="A76" t="s">
        <v>254</v>
      </c>
    </row>
    <row r="77" spans="1:1" x14ac:dyDescent="0.25">
      <c r="A77" t="s">
        <v>255</v>
      </c>
    </row>
    <row r="78" spans="1:1" x14ac:dyDescent="0.25">
      <c r="A78" t="s">
        <v>256</v>
      </c>
    </row>
    <row r="80" spans="1:1" x14ac:dyDescent="0.25">
      <c r="A80" t="s">
        <v>257</v>
      </c>
    </row>
    <row r="81" spans="1:1" x14ac:dyDescent="0.25">
      <c r="A81" t="s">
        <v>258</v>
      </c>
    </row>
    <row r="83" spans="1:1" x14ac:dyDescent="0.25">
      <c r="A83" t="s">
        <v>209</v>
      </c>
    </row>
    <row r="85" spans="1:1" x14ac:dyDescent="0.25">
      <c r="A85" t="s">
        <v>259</v>
      </c>
    </row>
    <row r="87" spans="1:1" x14ac:dyDescent="0.25">
      <c r="A87" t="s">
        <v>260</v>
      </c>
    </row>
    <row r="88" spans="1:1" x14ac:dyDescent="0.25">
      <c r="A88" t="s">
        <v>261</v>
      </c>
    </row>
    <row r="89" spans="1:1" x14ac:dyDescent="0.25">
      <c r="A89" t="s">
        <v>262</v>
      </c>
    </row>
    <row r="90" spans="1:1" x14ac:dyDescent="0.25">
      <c r="A90" t="s">
        <v>263</v>
      </c>
    </row>
    <row r="91" spans="1:1" x14ac:dyDescent="0.25">
      <c r="A91" t="s">
        <v>264</v>
      </c>
    </row>
    <row r="92" spans="1:1" x14ac:dyDescent="0.25">
      <c r="A92" t="s">
        <v>265</v>
      </c>
    </row>
    <row r="93" spans="1:1" x14ac:dyDescent="0.25">
      <c r="A93" t="s">
        <v>266</v>
      </c>
    </row>
    <row r="95" spans="1:1" x14ac:dyDescent="0.25">
      <c r="A95" t="s">
        <v>267</v>
      </c>
    </row>
    <row r="97" spans="1:1" x14ac:dyDescent="0.25">
      <c r="A97" t="s">
        <v>268</v>
      </c>
    </row>
    <row r="98" spans="1:1" x14ac:dyDescent="0.25">
      <c r="A98" t="s">
        <v>269</v>
      </c>
    </row>
    <row r="99" spans="1:1" x14ac:dyDescent="0.25">
      <c r="A99" t="s">
        <v>270</v>
      </c>
    </row>
    <row r="100" spans="1:1" x14ac:dyDescent="0.25">
      <c r="A100" t="s">
        <v>271</v>
      </c>
    </row>
    <row r="101" spans="1:1" x14ac:dyDescent="0.25">
      <c r="A101" t="s">
        <v>272</v>
      </c>
    </row>
    <row r="103" spans="1:1" x14ac:dyDescent="0.25">
      <c r="A103" t="s">
        <v>209</v>
      </c>
    </row>
    <row r="105" spans="1:1" x14ac:dyDescent="0.25">
      <c r="A105" t="s">
        <v>273</v>
      </c>
    </row>
    <row r="107" spans="1:1" x14ac:dyDescent="0.25">
      <c r="A107" t="s">
        <v>274</v>
      </c>
    </row>
    <row r="109" spans="1:1" x14ac:dyDescent="0.25">
      <c r="A109" t="s">
        <v>275</v>
      </c>
    </row>
    <row r="110" spans="1:1" x14ac:dyDescent="0.25">
      <c r="A110" t="s">
        <v>241</v>
      </c>
    </row>
    <row r="111" spans="1:1" x14ac:dyDescent="0.25">
      <c r="A111" t="s">
        <v>276</v>
      </c>
    </row>
    <row r="112" spans="1:1" x14ac:dyDescent="0.25">
      <c r="A112" t="s">
        <v>277</v>
      </c>
    </row>
    <row r="113" spans="1:1" x14ac:dyDescent="0.25">
      <c r="A113" t="s">
        <v>278</v>
      </c>
    </row>
    <row r="114" spans="1:1" x14ac:dyDescent="0.25">
      <c r="A114" t="s">
        <v>279</v>
      </c>
    </row>
    <row r="115" spans="1:1" x14ac:dyDescent="0.25">
      <c r="A115" t="s">
        <v>280</v>
      </c>
    </row>
    <row r="117" spans="1:1" x14ac:dyDescent="0.25">
      <c r="A117" t="s">
        <v>281</v>
      </c>
    </row>
    <row r="119" spans="1:1" x14ac:dyDescent="0.25">
      <c r="A119" t="s">
        <v>282</v>
      </c>
    </row>
    <row r="120" spans="1:1" x14ac:dyDescent="0.25">
      <c r="A120" t="s">
        <v>212</v>
      </c>
    </row>
    <row r="121" spans="1:1" x14ac:dyDescent="0.25">
      <c r="A121" t="s">
        <v>283</v>
      </c>
    </row>
    <row r="122" spans="1:1" x14ac:dyDescent="0.25">
      <c r="A122" t="s">
        <v>284</v>
      </c>
    </row>
    <row r="123" spans="1:1" x14ac:dyDescent="0.25">
      <c r="A123" t="s">
        <v>285</v>
      </c>
    </row>
    <row r="125" spans="1:1" x14ac:dyDescent="0.25">
      <c r="A125" t="s">
        <v>286</v>
      </c>
    </row>
    <row r="127" spans="1:1" x14ac:dyDescent="0.25">
      <c r="A127" t="s">
        <v>209</v>
      </c>
    </row>
    <row r="129" spans="1:1" x14ac:dyDescent="0.25">
      <c r="A129" t="s">
        <v>287</v>
      </c>
    </row>
    <row r="131" spans="1:1" x14ac:dyDescent="0.25">
      <c r="A131" t="s">
        <v>288</v>
      </c>
    </row>
    <row r="132" spans="1:1" x14ac:dyDescent="0.25">
      <c r="A132" t="s">
        <v>289</v>
      </c>
    </row>
    <row r="133" spans="1:1" x14ac:dyDescent="0.25">
      <c r="A133" t="s">
        <v>290</v>
      </c>
    </row>
    <row r="134" spans="1:1" x14ac:dyDescent="0.25">
      <c r="A134" t="s">
        <v>291</v>
      </c>
    </row>
    <row r="136" spans="1:1" x14ac:dyDescent="0.25">
      <c r="A136" t="s">
        <v>292</v>
      </c>
    </row>
    <row r="137" spans="1:1" x14ac:dyDescent="0.25">
      <c r="A137" t="s">
        <v>293</v>
      </c>
    </row>
    <row r="139" spans="1:1" x14ac:dyDescent="0.25">
      <c r="A139" t="s">
        <v>294</v>
      </c>
    </row>
    <row r="140" spans="1:1" x14ac:dyDescent="0.25">
      <c r="A140" t="s">
        <v>295</v>
      </c>
    </row>
    <row r="141" spans="1:1" x14ac:dyDescent="0.25">
      <c r="A141" t="s">
        <v>296</v>
      </c>
    </row>
    <row r="142" spans="1:1" x14ac:dyDescent="0.25">
      <c r="A142" t="s">
        <v>297</v>
      </c>
    </row>
    <row r="143" spans="1:1" x14ac:dyDescent="0.25">
      <c r="A143" t="s">
        <v>298</v>
      </c>
    </row>
    <row r="144" spans="1:1" x14ac:dyDescent="0.25">
      <c r="A144" t="s">
        <v>299</v>
      </c>
    </row>
    <row r="145" spans="1:1" x14ac:dyDescent="0.25">
      <c r="A145" t="s">
        <v>300</v>
      </c>
    </row>
    <row r="146" spans="1:1" x14ac:dyDescent="0.25">
      <c r="A146" t="s">
        <v>301</v>
      </c>
    </row>
    <row r="147" spans="1:1" x14ac:dyDescent="0.25">
      <c r="A147" t="s">
        <v>302</v>
      </c>
    </row>
    <row r="149" spans="1:1" x14ac:dyDescent="0.25">
      <c r="A149" t="s">
        <v>303</v>
      </c>
    </row>
    <row r="151" spans="1:1" x14ac:dyDescent="0.25">
      <c r="A151" t="s">
        <v>209</v>
      </c>
    </row>
    <row r="153" spans="1:1" x14ac:dyDescent="0.25">
      <c r="A153" t="s">
        <v>304</v>
      </c>
    </row>
    <row r="155" spans="1:1" x14ac:dyDescent="0.25">
      <c r="A155" t="s">
        <v>305</v>
      </c>
    </row>
    <row r="156" spans="1:1" x14ac:dyDescent="0.25">
      <c r="A156" t="s">
        <v>306</v>
      </c>
    </row>
    <row r="157" spans="1:1" x14ac:dyDescent="0.25">
      <c r="A157" t="s">
        <v>307</v>
      </c>
    </row>
    <row r="159" spans="1:1" x14ac:dyDescent="0.25">
      <c r="A159" t="s">
        <v>308</v>
      </c>
    </row>
    <row r="160" spans="1:1" x14ac:dyDescent="0.25">
      <c r="A160" t="s">
        <v>309</v>
      </c>
    </row>
    <row r="162" spans="1:1" x14ac:dyDescent="0.25">
      <c r="A162" t="s">
        <v>209</v>
      </c>
    </row>
    <row r="164" spans="1:1" x14ac:dyDescent="0.25">
      <c r="A164" t="s">
        <v>310</v>
      </c>
    </row>
    <row r="166" spans="1:1" x14ac:dyDescent="0.25">
      <c r="A166" t="s">
        <v>311</v>
      </c>
    </row>
    <row r="168" spans="1:1" x14ac:dyDescent="0.25">
      <c r="A168" t="s">
        <v>312</v>
      </c>
    </row>
    <row r="169" spans="1:1" x14ac:dyDescent="0.25">
      <c r="A169" t="s">
        <v>313</v>
      </c>
    </row>
    <row r="170" spans="1:1" x14ac:dyDescent="0.25">
      <c r="A170" t="s">
        <v>314</v>
      </c>
    </row>
    <row r="171" spans="1:1" x14ac:dyDescent="0.25">
      <c r="A171" t="s">
        <v>315</v>
      </c>
    </row>
    <row r="173" spans="1:1" x14ac:dyDescent="0.25">
      <c r="A173" t="s">
        <v>209</v>
      </c>
    </row>
    <row r="175" spans="1:1" x14ac:dyDescent="0.25">
      <c r="A175" t="s">
        <v>316</v>
      </c>
    </row>
    <row r="177" spans="1:1" x14ac:dyDescent="0.25">
      <c r="A177" t="s">
        <v>317</v>
      </c>
    </row>
    <row r="178" spans="1:1" x14ac:dyDescent="0.25">
      <c r="A178" t="s">
        <v>212</v>
      </c>
    </row>
    <row r="179" spans="1:1" x14ac:dyDescent="0.25">
      <c r="A179" t="s">
        <v>318</v>
      </c>
    </row>
    <row r="180" spans="1:1" x14ac:dyDescent="0.25">
      <c r="A180" t="s">
        <v>319</v>
      </c>
    </row>
    <row r="181" spans="1:1" x14ac:dyDescent="0.25">
      <c r="A181" t="s">
        <v>320</v>
      </c>
    </row>
    <row r="182" spans="1:1" x14ac:dyDescent="0.25">
      <c r="A182" t="s">
        <v>321</v>
      </c>
    </row>
    <row r="183" spans="1:1" x14ac:dyDescent="0.25">
      <c r="A183" t="s">
        <v>322</v>
      </c>
    </row>
    <row r="184" spans="1:1" x14ac:dyDescent="0.25">
      <c r="A184" t="s">
        <v>323</v>
      </c>
    </row>
    <row r="185" spans="1:1" x14ac:dyDescent="0.25">
      <c r="A185" t="s">
        <v>324</v>
      </c>
    </row>
    <row r="186" spans="1:1" x14ac:dyDescent="0.25">
      <c r="A186" t="s">
        <v>325</v>
      </c>
    </row>
    <row r="187" spans="1:1" x14ac:dyDescent="0.25">
      <c r="A187" t="s">
        <v>326</v>
      </c>
    </row>
    <row r="188" spans="1:1" x14ac:dyDescent="0.25">
      <c r="A188" t="s">
        <v>327</v>
      </c>
    </row>
    <row r="189" spans="1:1" x14ac:dyDescent="0.25">
      <c r="A189" t="s">
        <v>328</v>
      </c>
    </row>
    <row r="191" spans="1:1" x14ac:dyDescent="0.25">
      <c r="A191" t="s">
        <v>329</v>
      </c>
    </row>
    <row r="192" spans="1:1" x14ac:dyDescent="0.25">
      <c r="A192" t="s">
        <v>330</v>
      </c>
    </row>
    <row r="193" spans="1:1" x14ac:dyDescent="0.25">
      <c r="A193" t="s">
        <v>331</v>
      </c>
    </row>
    <row r="194" spans="1:1" x14ac:dyDescent="0.25">
      <c r="A194" t="s">
        <v>332</v>
      </c>
    </row>
    <row r="195" spans="1:1" x14ac:dyDescent="0.25">
      <c r="A195" t="s">
        <v>333</v>
      </c>
    </row>
    <row r="196" spans="1:1" x14ac:dyDescent="0.25">
      <c r="A196" t="s">
        <v>334</v>
      </c>
    </row>
    <row r="198" spans="1:1" x14ac:dyDescent="0.25">
      <c r="A198" t="s">
        <v>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Summary</vt:lpstr>
      <vt:lpstr>data</vt:lpstr>
      <vt:lpstr>exch_map</vt:lpstr>
      <vt:lpstr>contracts</vt:lpstr>
      <vt:lpstr>How to use</vt:lpstr>
      <vt:lpstr>README</vt:lpstr>
      <vt:lpstr>stellar_rtd</vt:lpstr>
      <vt:lpstr>TA_BatchSeconds</vt:lpstr>
      <vt:lpstr>TA_CardTitle</vt:lpstr>
      <vt:lpstr>TA_LabelColumn</vt:lpstr>
      <vt:lpstr>TA_MinAbsChange</vt:lpstr>
      <vt:lpstr>TA_Recipient</vt:lpstr>
      <vt:lpstr>TA_RTDServer</vt:lpstr>
      <vt:lpstr>TA_TableName</vt:lpstr>
      <vt:lpstr>TA_WatchColumn</vt:lpstr>
      <vt:lpstr>TA_WebhookUrl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Amarkant Kumar</dc:creator>
  <cp:lastModifiedBy>Amarkant Kumar</cp:lastModifiedBy>
  <dcterms:created xsi:type="dcterms:W3CDTF">2026-10-24T03:21:05Z</dcterms:created>
  <dcterms:modified xsi:type="dcterms:W3CDTF">2026-10-26T08:48:14Z</dcterms:modified>
</cp:coreProperties>
</file>